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Loss time 22-10" sheetId="16" state="visible" r:id="rId18"/>
    <sheet name="Loss time 23-10" sheetId="17" state="visible" r:id="rId19"/>
    <sheet name="Loss time 24-10" sheetId="18" state="visible" r:id="rId20"/>
    <sheet name="Loss time 25-10" sheetId="19" state="visible" r:id="rId21"/>
    <sheet name="Loss time 26-10" sheetId="20" state="visible" r:id="rId22"/>
    <sheet name="Tổng hợp" sheetId="21" state="visible" r:id="rId23"/>
    <sheet name="Nhân viên mới - A2" sheetId="22" state="visible" r:id="rId24"/>
    <sheet name="Lịch A2 nhân viên mới" sheetId="23" state="visible" r:id="rId25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  <definedName function="false" hidden="true" localSheetId="15" name="_xlnm._FilterDatabase" vbProcedure="false">'Loss time 22-10'!$A$2:$Q$44</definedName>
    <definedName function="false" hidden="true" localSheetId="16" name="_xlnm._FilterDatabase" vbProcedure="false">'Loss time 23-10'!$A$2:$Q$43</definedName>
    <definedName function="false" hidden="true" localSheetId="17" name="_xlnm._FilterDatabase" vbProcedure="false">'Loss time 24-10'!$A$2:$Q$41</definedName>
    <definedName function="false" hidden="true" localSheetId="18" name="_xlnm._FilterDatabase" vbProcedure="false">'Loss time 25-10'!$A$2:$Q$14</definedName>
    <definedName function="false" hidden="true" localSheetId="19" name="_xlnm._FilterDatabase" vbProcedure="false">'Loss time 26-10'!$A$2:$Q$40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<sst xmlns="http://schemas.openxmlformats.org/spreadsheetml/2006/main" count="6504" uniqueCount="399">
  <si>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</si>
  <si>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</si>
  <si>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</si>
  <si>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</si>
  <si>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</si>
  <si>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</si>
  <si>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</si>
  <si>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</si>
  <si>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</si>
  <si>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</si>
  <si>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</si>
  <si>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</si>
  <si>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</si>
  <si>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</si>
  <si>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</si>
  <si>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</si>
  <si>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</si>
  <si>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</si>
  <si>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</si>
  <si>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</si>
  <si>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</si>
  <si>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</si>
  <si>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</si>
  <si>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</si>
  <si>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</si>
  <si>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</si>
  <si>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</si>
  <si>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</si>
  <si>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</si>
  <si>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</si>
  <si>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</si>
  <si>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</si>
  <si>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</si>
  <si>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</si>
  <si>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</si>
  <si>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</si>
  <si>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</si>
  <si>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</si>
  <si>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</si>
  <si>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</si>
  <si>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</si>
  <si>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</si>
  <si>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</si>
  <si>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</si>
  <si>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</si>
  <si>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</si>
  <si>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</si>
  <si>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</si>
  <si>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</si>
  <si>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</si>
  <si>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</si>
  <si>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</si>
  <si>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</si>
  <si>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</si>
  <si>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</si>
  <si>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</si>
  <si>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</si>
  <si>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</si>
  <si>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</si>
  <si>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</si>
  <si>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</si>
  <si>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</si>
  <si>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</si>
  <si>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</si>
  <si>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</si>
  <si>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</si>
  <si>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</si>
  <si>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</si>
  <si>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</si>
  <si>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</si>
  <si>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</si>
  <si>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</si>
  <si>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</si>
  <si>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</si>
  <si>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</si>
  <si>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</si>
  <si>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</si>
  <si>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</si>
  <si>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</si>
  <si>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</si>
  <si>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</si>
  <si>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</si>
  <si>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</si>
  <si>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</si>
  <si>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</si>
  <si>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</si>
  <si>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</si>
  <si>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</si>
  <si>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</si>
  <si>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</si>
  <si>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</si>
  <si>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</si>
  <si>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</si>
  <si>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</si>
  <si>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</si>
  <si>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</si>
  <si>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</si>
  <si>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</si>
  <si>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</si>
  <si>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</si>
  <si>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</si>
  <si>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</si>
  <si>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</si>
  <si>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</si>
  <si>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</si>
  <si>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</si>
  <si>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</si>
  <si>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</si>
  <si>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</si>
  <si>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</si>
  <si>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</si>
  <si>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</si>
  <si>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</si>
  <si>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</si>
  <si>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</si>
  <si>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</si>
  <si>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</si>
  <si>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</si>
  <si>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</si>
  <si>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</si>
  <si>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</si>
  <si>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</si>
  <si>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</si>
  <si>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</si>
  <si>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</si>
  <si>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</si>
  <si>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</si>
  <si>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</si>
  <si>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</si>
  <si>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</si>
  <si>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</si>
  <si>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</si>
  <si>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</si>
  <si>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</si>
  <si>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</si>
  <si>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</si>
  <si>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</si>
  <si>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</si>
  <si>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</si>
  <si>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</si>
  <si>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</si>
  <si>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</si>
  <si>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</si>
  <si>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</si>
  <si>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</si>
  <si>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</si>
  <si>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</si>
  <si>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</si>
  <si>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</si>
  <si>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</si>
  <si>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</si>
  <si>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</si>
  <si>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</si>
  <si>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</si>
  <si>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</si>
  <si>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</si>
  <si>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</si>
  <si>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</si>
  <si>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</si>
  <si>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</si>
  <si>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</si>
  <si>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</si>
  <si>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</si>
  <si>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</si>
  <si>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</si>
  <si>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</si>
  <si>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</si>
  <si>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</si>
  <si>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</si>
  <si>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</si>
  <si>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</si>
  <si>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</si>
  <si>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</si>
  <si>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</si>
  <si>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</si>
  <si>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</si>
  <si>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</si>
  <si>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</si>
  <si>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</si>
  <si>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</si>
  <si>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</si>
  <si>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</si>
  <si>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</si>
  <si>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</si>
  <si>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</si>
  <si>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</si>
  <si>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</si>
  <si>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</si>
  <si>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</si>
  <si>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</si>
  <si>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</si>
  <si>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</si>
  <si>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</si>
  <si>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</si>
  <si>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</si>
  <si>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</si>
  <si>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</si>
  <si>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</si>
  <si>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</si>
  <si>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</si>
  <si>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</si>
  <si>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</si>
  <si>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</si>
  <si>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</si>
  <si>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</si>
  <si>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</si>
  <si>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</si>
  <si>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</si>
  <si>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</si>
  <si>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</si>
  <si>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</si>
  <si>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</si>
  <si>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</si>
  <si>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</si>
  <si>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</si>
  <si>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</si>
  <si>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</si>
  <si>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</si>
  <si>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</si>
  <si>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</si>
  <si>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</si>
  <si>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</si>
  <si>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</si>
  <si>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</si>
  <si>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</si>
  <si>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</si>
  <si>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</si>
  <si>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</si>
  <si>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</si>
  <si>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</si>
  <si>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</si>
  <si>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</si>
  <si>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</si>
  <si>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</si>
  <si>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</si>
  <si>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</si>
  <si>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</si>
  <si>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</si>
  <si>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</si>
  <si>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</si>
  <si>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</si>
  <si>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</si>
  <si>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</si>
  <si>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</si>
  <si>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</si>
  <si>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</si>
  <si>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</si>
  <si>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LOSS TIME WHITE WOOD - 22/10/2026</t>
  </si>
  <si>
    <t xml:space="preserve">A2 ngày 12/12 - nhóm 08/10</t>
  </si>
  <si>
    <t xml:space="preserve">A2 ngày 11/12 - nhóm 09/10</t>
  </si>
  <si>
    <t xml:space="preserve">A2 ngày 9/12 - nhóm 12/10</t>
  </si>
  <si>
    <t xml:space="preserve">A2 ngày 8/12 - nhóm 13/10</t>
  </si>
  <si>
    <t xml:space="preserve">A2 ngày 7/12 - nhóm 14/10</t>
  </si>
  <si>
    <t xml:space="preserve">A2 ngày 6/12 - nhóm 15/10</t>
  </si>
  <si>
    <t xml:space="preserve">A2 ngày 5/12 - nhóm 16/10</t>
  </si>
  <si>
    <t xml:space="preserve">A2 ngày 3/12 - nhóm 19/10</t>
  </si>
  <si>
    <t xml:space="preserve">A2 ngày 2/12 - nhóm 20/10</t>
  </si>
  <si>
    <t xml:space="preserve">HC mới- 50% hiệu suất- 2 tuần-21/10</t>
  </si>
  <si>
    <t xml:space="preserve">A2 ngày 1/12 - nhóm 21/10</t>
  </si>
  <si>
    <t xml:space="preserve">LOSS TIME WHITE WOOD - 23/10/2026</t>
  </si>
  <si>
    <t xml:space="preserve">A2 ngày 12/12 - nhóm 09/10</t>
  </si>
  <si>
    <t xml:space="preserve">A2 ngày 10/12 - nhóm 12/10</t>
  </si>
  <si>
    <t xml:space="preserve">A2 ngày 9/12 - nhóm 13/10</t>
  </si>
  <si>
    <t xml:space="preserve">A2 ngày 8/12 - nhóm 14/10</t>
  </si>
  <si>
    <t xml:space="preserve">A2 ngày 7/12 - nhóm 15/10</t>
  </si>
  <si>
    <t xml:space="preserve">A2 ngày 6/12 - nhóm 16/10</t>
  </si>
  <si>
    <t xml:space="preserve">A2 ngày 4/12 - nhóm 19/10</t>
  </si>
  <si>
    <t xml:space="preserve">A2 ngày 3/12 - nhóm 20/10</t>
  </si>
  <si>
    <t xml:space="preserve">A2 ngày 2/12 - nhóm 21/10</t>
  </si>
  <si>
    <t xml:space="preserve">HC mới- 50% hiệu suất- 2 tuần-22/10</t>
  </si>
  <si>
    <t xml:space="preserve">A2 ngày 1/12 - nhóm 22/10</t>
  </si>
  <si>
    <t xml:space="preserve">LOSS TIME WHITE WOOD - 24/10/2026</t>
  </si>
  <si>
    <t xml:space="preserve">A2 ngày 11/12 - nhóm 12/10</t>
  </si>
  <si>
    <t xml:space="preserve">A2 ngày 10/12 - nhóm 13/10</t>
  </si>
  <si>
    <t xml:space="preserve">A2 ngày 9/12 - nhóm 14/10</t>
  </si>
  <si>
    <t xml:space="preserve">A2 ngày 8/12 - nhóm 15/10</t>
  </si>
  <si>
    <t xml:space="preserve">A2 ngày 7/12 - nhóm 16/10</t>
  </si>
  <si>
    <t xml:space="preserve">A2 ngày 5/12 - nhóm 19/10</t>
  </si>
  <si>
    <t xml:space="preserve">A2 ngày 4/12 - nhóm 20/10</t>
  </si>
  <si>
    <t xml:space="preserve">A2 ngày 3/12 - nhóm 21/10</t>
  </si>
  <si>
    <t xml:space="preserve">A2 ngày 2/12 - nhóm 22/10</t>
  </si>
  <si>
    <t xml:space="preserve">HC mới- 50% hiệu suất- 2 tuần-23/10</t>
  </si>
  <si>
    <t xml:space="preserve">A2 ngày 1/12 - nhóm 23/10</t>
  </si>
  <si>
    <t xml:space="preserve">LOSS TIME WHITE WOOD - 25/10/2026</t>
  </si>
  <si>
    <t xml:space="preserve">A2 ngày 12/12 - nhóm 12/10</t>
  </si>
  <si>
    <t xml:space="preserve">A2 ngày 11/12 - nhóm 13/10</t>
  </si>
  <si>
    <t xml:space="preserve">A2 ngày 10/12 - nhóm 14/10</t>
  </si>
  <si>
    <t xml:space="preserve">A2 ngày 9/12 - nhóm 15/10</t>
  </si>
  <si>
    <t xml:space="preserve">A2 ngày 8/12 - nhóm 16/10</t>
  </si>
  <si>
    <t xml:space="preserve">A2 ngày 6/12 - nhóm 19/10</t>
  </si>
  <si>
    <t xml:space="preserve">A2 ngày 5/12 - nhóm 20/10</t>
  </si>
  <si>
    <t xml:space="preserve">A2 ngày 4/12 - nhóm 21/10</t>
  </si>
  <si>
    <t xml:space="preserve">A2 ngày 3/12 - nhóm 22/10</t>
  </si>
  <si>
    <t xml:space="preserve">LOSS TIME WHITE WOOD - 26/10/2026</t>
  </si>
  <si>
    <t xml:space="preserve">A2 ngày 12/12 - nhóm 13/10</t>
  </si>
  <si>
    <t xml:space="preserve">A2 ngày 11/12 - nhóm 14/10</t>
  </si>
  <si>
    <t xml:space="preserve">A2 ngày 10/12 - nhóm 15/10</t>
  </si>
  <si>
    <t xml:space="preserve">A2 ngày 9/12 - nhóm 16/10</t>
  </si>
  <si>
    <t xml:space="preserve">A2 ngày 7/12 - nhóm 19/10</t>
  </si>
  <si>
    <t xml:space="preserve">A2 ngày 6/12 - nhóm 20/10</t>
  </si>
  <si>
    <t xml:space="preserve">A2 ngày 5/12 - nhóm 21/10</t>
  </si>
  <si>
    <t xml:space="preserve">A2 ngày 4/12 - nhóm 22/10</t>
  </si>
  <si>
    <t xml:space="preserve">A2 ngày 2/12 - nhóm 23/10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</si>
  <si>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</si>
  <si>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</si>
  <si>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</si>
  <si>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</si>
  <si>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</si>
  <si>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</si>
  <si>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</si>
  <si>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</si>
  <si>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</si>
  <si>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</si>
  <si>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</si>
  <si>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</si>
  <si>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</si>
  <si>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</si>
  <si>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</si>
  <si>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</si>
  <si>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</si>
  <si>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</si>
  <si>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Ngày 22/10/2026</t>
  </si>
  <si>
    <t xml:space="preserve">Ngày 23/10/2026</t>
  </si>
  <si>
    <t xml:space="preserve">Ngày 24/10/2026</t>
  </si>
  <si>
    <t xml:space="preserve">Ngày 25/10/2026</t>
  </si>
  <si>
    <t xml:space="preserve">Ngày 26/10/2026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</si>
  <si>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</si>
  <si>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</si>
  <si>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</si>
  <si>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</si>
  <si>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</si>
  <si>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</si>
  <si>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</si>
  <si>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</si>
  <si>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</si>
  <si>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</si>
  <si>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</si>
  <si>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</si>
  <si>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</si>
  <si>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</si>
  <si>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</si>
  <si>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</si>
  <si>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</si>
  <si>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</si>
  <si>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</si>
  <si>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Mã ngày 22/10</t>
  </si>
  <si>
    <t xml:space="preserve">Mã ngày 23/10</t>
  </si>
  <si>
    <t xml:space="preserve">Mã ngày 24/10</t>
  </si>
  <si>
    <t xml:space="preserve">Mã ngày 25/10</t>
  </si>
  <si>
    <t xml:space="preserve">Mã ngày 26/10</t>
  </si>
  <si>
    <t xml:space="preserve">Ngày cuối A2 (không tính CN)</t>
  </si>
  <si>
    <t xml:space="preserve">23/10</t>
  </si>
  <si>
    <t xml:space="preserve">-</t>
  </si>
  <si>
    <t xml:space="preserve">A2 ngày 1</t>
  </si>
  <si>
    <t xml:space="preserve">A2 ngày 2</t>
  </si>
  <si>
    <t xml:space="preserve">22/10</t>
  </si>
  <si>
    <t xml:space="preserve">A2 ngày 3</t>
  </si>
  <si>
    <t xml:space="preserve">A2 ngày 4</t>
  </si>
  <si>
    <t xml:space="preserve">21/10</t>
  </si>
  <si>
    <t xml:space="preserve">A2 ngày 5</t>
  </si>
  <si>
    <t xml:space="preserve">20/10</t>
  </si>
  <si>
    <t xml:space="preserve">A2 ngày 6</t>
  </si>
  <si>
    <t xml:space="preserve">19/10</t>
  </si>
  <si>
    <t xml:space="preserve">A2 ngày 7</t>
  </si>
  <si>
    <t xml:space="preserve">16/10</t>
  </si>
  <si>
    <t xml:space="preserve">A2 ngày 8</t>
  </si>
  <si>
    <t xml:space="preserve">A2 ngày 9</t>
  </si>
  <si>
    <t xml:space="preserve">15/10</t>
  </si>
  <si>
    <t xml:space="preserve">A2 ngày 10</t>
  </si>
  <si>
    <t xml:space="preserve">14/10</t>
  </si>
  <si>
    <t xml:space="preserve">A2 ngày 11</t>
  </si>
  <si>
    <t xml:space="preserve">13/10</t>
  </si>
  <si>
    <t xml:space="preserve">A2 ngày 12</t>
  </si>
  <si>
    <t xml:space="preserve">12/10</t>
  </si>
  <si>
    <t xml:space="preserve">Đã xong</t>
  </si>
  <si>
    <t xml:space="preserve">09/10</t>
  </si>
  <si>
    <t xml:space="preserve">08/10</t>
  </si>
  <si>
    <t xml:space="preserve">07/10</t>
  </si>
  <si>
    <t xml:space="preserve">06/10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</si>
  <si>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</si>
  <si>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</si>
  <si>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</si>
  <si>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</si>
  <si>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</si>
  <si>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</si>
  <si>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</si>
  <si>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</si>
  <si>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</si>
  <si>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</si>
  <si>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</si>
  <si>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</si>
  <si>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</si>
  <si>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</si>
  <si>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</si>
  <si>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Ngày 22/10 có 6 nhân viên mới (Raw Cutting Panel 3, Machining 1, Assembly 2; người ghi "0" ở cột CT/TV vẫn tính vào HC). Ngày 23/10 và 24/10 chưa có nhân viên mới (chờ báo). Thứ Bảy 24/10 mặc định không tăng ca (chờ xác nhận); Ngày 23/10 có 1 nhân viên mới Raw Cutting Panel (người ghi "0" ở cột CT/TV vẫn tính). Thứ Hai 26/10 không tăng ca (P26 và P20 Assembly 7:30-15:30), từ 26/10 A2 của các nhóm Assembly cộng thêm 1 ngày vì Chủ nhật 25/10 đã tính. Chủ nhật 25/10 chỉ Assembly làm, không tăng ca: P20 và P26 của Assembly ghi 7:30-15:30; A2 của các nhóm Assembly vẫn ghi và tính là một ngày (theo tiền lệ 27/9). Từ 19/10 đến 23/10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</si>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</sst>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247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46317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3</v>
      </c>
      <c r="Q23" s="12" t="n">
        <f aca="false">P23*O23</f>
        <v>24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46317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46317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46317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127</v>
      </c>
      <c r="L26" s="15" t="s">
        <v>248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46317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127</v>
      </c>
      <c r="L27" s="15" t="s">
        <v>248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141</v>
      </c>
      <c r="L28" s="15" t="s">
        <v>249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46317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141</v>
      </c>
      <c r="L29" s="15" t="s">
        <v>249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46317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168</v>
      </c>
      <c r="L30" s="15" t="s">
        <v>250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46317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168</v>
      </c>
      <c r="L31" s="15" t="s">
        <v>250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46317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177</v>
      </c>
      <c r="L32" s="15" t="s">
        <v>251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46317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177</v>
      </c>
      <c r="L33" s="15" t="s">
        <v>251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46317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251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46317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187</v>
      </c>
      <c r="L35" s="15" t="s">
        <v>252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46317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198</v>
      </c>
      <c r="L36" s="15" t="s">
        <v>253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46317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210</v>
      </c>
      <c r="L37" s="15" t="s">
        <v>254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46317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233</v>
      </c>
      <c r="L38" s="15" t="s">
        <v>255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46317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233</v>
      </c>
      <c r="L39" s="15" t="s">
        <v>255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245</v>
      </c>
      <c r="L40" s="15" t="s">
        <v>256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46317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245</v>
      </c>
      <c r="L41" s="15" t="s">
        <v>256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46317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257</v>
      </c>
      <c r="L42" s="15" t="s">
        <v>258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46317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257</v>
      </c>
      <c r="L43" s="15" t="s">
        <v>258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A44" s="13" t="str">
        <f aca="false">"W"&amp;WEEKNUM(B44,21)</f>
        <v>W43</v>
      </c>
      <c r="B44" s="14" t="n">
        <v>46317</v>
      </c>
      <c r="C44" s="13"/>
      <c r="D44" s="13"/>
      <c r="E44" s="13"/>
      <c r="F44" s="13"/>
      <c r="G44" s="13" t="s">
        <v>28</v>
      </c>
      <c r="H44" s="13" t="s">
        <v>52</v>
      </c>
      <c r="I44" s="15" t="s">
        <v>53</v>
      </c>
      <c r="J44" s="13" t="s">
        <v>50</v>
      </c>
      <c r="K44" s="15" t="s">
        <v>257</v>
      </c>
      <c r="L44" s="15" t="s">
        <v>258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509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259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46318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46318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141</v>
      </c>
      <c r="L24" s="15" t="s">
        <v>260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46318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141</v>
      </c>
      <c r="L25" s="15" t="s">
        <v>260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168</v>
      </c>
      <c r="L26" s="15" t="s">
        <v>261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2</v>
      </c>
      <c r="Q26" s="17" t="n">
        <f aca="false">P26*O26</f>
        <v>9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46318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168</v>
      </c>
      <c r="L27" s="15" t="s">
        <v>261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177</v>
      </c>
      <c r="L28" s="15" t="s">
        <v>262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46318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177</v>
      </c>
      <c r="L29" s="15" t="s">
        <v>262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177</v>
      </c>
      <c r="L30" s="15" t="s">
        <v>262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46318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187</v>
      </c>
      <c r="L31" s="15" t="s">
        <v>263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46318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198</v>
      </c>
      <c r="L32" s="15" t="s">
        <v>264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46318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210</v>
      </c>
      <c r="L33" s="15" t="s">
        <v>265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46318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233</v>
      </c>
      <c r="L34" s="15" t="s">
        <v>266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46318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233</v>
      </c>
      <c r="L35" s="15" t="s">
        <v>266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46318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245</v>
      </c>
      <c r="L36" s="15" t="s">
        <v>267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46318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245</v>
      </c>
      <c r="L37" s="15" t="s">
        <v>267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257</v>
      </c>
      <c r="L38" s="15" t="s">
        <v>268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46318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257</v>
      </c>
      <c r="L39" s="15" t="s">
        <v>268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257</v>
      </c>
      <c r="L40" s="15" t="s">
        <v>268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269</v>
      </c>
      <c r="L41" s="15" t="s">
        <v>270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3</v>
      </c>
      <c r="Q41" s="17" t="n">
        <f aca="false">P41*O41</f>
        <v>13.5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269</v>
      </c>
      <c r="L42" s="15" t="s">
        <v>270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269</v>
      </c>
      <c r="L43" s="15" t="s">
        <v>270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478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271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46319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168</v>
      </c>
      <c r="L23" s="15" t="s">
        <v>272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2</v>
      </c>
      <c r="Q23" s="17" t="n">
        <f aca="false">P23*O23</f>
        <v>9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272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46319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273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46319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273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46319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273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46319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274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46319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275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276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46319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277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46319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277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46319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278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46319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278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279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46319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279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46319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46319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46319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280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46319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280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46319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281</v>
      </c>
      <c r="L41" s="15" t="s">
        <v>282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348.5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283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46320</v>
      </c>
      <c r="C3" s="3"/>
      <c r="D3" s="3"/>
      <c r="E3" s="3"/>
      <c r="F3" s="3"/>
      <c r="G3" s="3" t="s">
        <v>28</v>
      </c>
      <c r="H3" s="3" t="s">
        <v>19</v>
      </c>
      <c r="I3" s="5" t="s">
        <v>20</v>
      </c>
      <c r="J3" s="3" t="s">
        <v>28</v>
      </c>
      <c r="K3" s="5" t="s">
        <v>29</v>
      </c>
      <c r="L3" s="5"/>
      <c r="M3" s="6" t="n">
        <v>0.3125</v>
      </c>
      <c r="N3" s="6" t="n">
        <v>0.645833333333333</v>
      </c>
      <c r="O3" s="7" t="n">
        <f aca="false">(N3-M3)*24</f>
        <v>8</v>
      </c>
      <c r="P3" s="3" t="n">
        <v>2</v>
      </c>
      <c r="Q3" s="7" t="n">
        <f aca="false">P3*O3</f>
        <v>16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46320</v>
      </c>
      <c r="C4" s="3"/>
      <c r="D4" s="3"/>
      <c r="E4" s="3"/>
      <c r="F4" s="3"/>
      <c r="G4" s="3" t="s">
        <v>28</v>
      </c>
      <c r="H4" s="3" t="s">
        <v>30</v>
      </c>
      <c r="I4" s="5" t="s">
        <v>31</v>
      </c>
      <c r="J4" s="3" t="s">
        <v>28</v>
      </c>
      <c r="K4" s="5" t="s">
        <v>46</v>
      </c>
      <c r="L4" s="5" t="s">
        <v>33</v>
      </c>
      <c r="M4" s="6" t="n">
        <v>0.3125</v>
      </c>
      <c r="N4" s="6" t="n">
        <v>0.645833333333333</v>
      </c>
      <c r="O4" s="7" t="n">
        <f aca="false">(N4-M4)*24</f>
        <v>8</v>
      </c>
      <c r="P4" s="3" t="n">
        <v>1</v>
      </c>
      <c r="Q4" s="7" t="n">
        <f aca="false">P4*O4</f>
        <v>8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46320</v>
      </c>
      <c r="C5" s="3"/>
      <c r="D5" s="3"/>
      <c r="E5" s="3"/>
      <c r="F5" s="3"/>
      <c r="G5" s="3" t="s">
        <v>28</v>
      </c>
      <c r="H5" s="3" t="s">
        <v>30</v>
      </c>
      <c r="I5" s="5" t="s">
        <v>31</v>
      </c>
      <c r="J5" s="3" t="s">
        <v>28</v>
      </c>
      <c r="K5" s="5" t="s">
        <v>47</v>
      </c>
      <c r="L5" s="5" t="s">
        <v>38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</v>
      </c>
      <c r="Q5" s="7" t="n">
        <f aca="false">P5*O5</f>
        <v>8</v>
      </c>
    </row>
    <row r="6" customFormat="false" ht="15" hidden="false" customHeight="false" outlineLevel="0" collapsed="false">
      <c r="A6" s="13" t="str">
        <f aca="false">"W"&amp;WEEKNUM(B6,21)</f>
        <v>W43</v>
      </c>
      <c r="B6" s="14" t="n">
        <v>46320</v>
      </c>
      <c r="C6" s="13"/>
      <c r="D6" s="13"/>
      <c r="E6" s="13"/>
      <c r="F6" s="13"/>
      <c r="G6" s="13" t="s">
        <v>28</v>
      </c>
      <c r="H6" s="13" t="s">
        <v>52</v>
      </c>
      <c r="I6" s="15" t="s">
        <v>53</v>
      </c>
      <c r="J6" s="13" t="s">
        <v>50</v>
      </c>
      <c r="K6" s="15" t="s">
        <v>168</v>
      </c>
      <c r="L6" s="15" t="s">
        <v>284</v>
      </c>
      <c r="M6" s="16" t="n">
        <v>0.3125</v>
      </c>
      <c r="N6" s="16" t="n">
        <v>0.5</v>
      </c>
      <c r="O6" s="17" t="n">
        <f aca="false">(N6-M6)*24</f>
        <v>4.5</v>
      </c>
      <c r="P6" s="13" t="n">
        <v>2</v>
      </c>
      <c r="Q6" s="17" t="n">
        <f aca="false">P6*O6</f>
        <v>9</v>
      </c>
    </row>
    <row r="7" customFormat="false" ht="15" hidden="false" customHeight="false" outlineLevel="0" collapsed="false">
      <c r="A7" s="13" t="str">
        <f aca="false">"W"&amp;WEEKNUM(B7,21)</f>
        <v>W43</v>
      </c>
      <c r="B7" s="14" t="n">
        <v>46320</v>
      </c>
      <c r="C7" s="13"/>
      <c r="D7" s="13"/>
      <c r="E7" s="13"/>
      <c r="F7" s="13"/>
      <c r="G7" s="13" t="s">
        <v>28</v>
      </c>
      <c r="H7" s="13" t="s">
        <v>52</v>
      </c>
      <c r="I7" s="15" t="s">
        <v>53</v>
      </c>
      <c r="J7" s="13" t="s">
        <v>50</v>
      </c>
      <c r="K7" s="15" t="s">
        <v>177</v>
      </c>
      <c r="L7" s="15" t="s">
        <v>285</v>
      </c>
      <c r="M7" s="16" t="n">
        <v>0.3125</v>
      </c>
      <c r="N7" s="16" t="n">
        <v>0.5</v>
      </c>
      <c r="O7" s="17" t="n">
        <f aca="false">(N7-M7)*24</f>
        <v>4.5</v>
      </c>
      <c r="P7" s="13" t="n">
        <v>2</v>
      </c>
      <c r="Q7" s="17" t="n">
        <f aca="false">P7*O7</f>
        <v>9</v>
      </c>
    </row>
    <row r="8" customFormat="false" ht="15" hidden="false" customHeight="false" outlineLevel="0" collapsed="false">
      <c r="A8" s="13" t="str">
        <f aca="false">"W"&amp;WEEKNUM(B8,21)</f>
        <v>W43</v>
      </c>
      <c r="B8" s="14" t="n">
        <v>46320</v>
      </c>
      <c r="C8" s="13"/>
      <c r="D8" s="13"/>
      <c r="E8" s="13"/>
      <c r="F8" s="13"/>
      <c r="G8" s="13" t="s">
        <v>28</v>
      </c>
      <c r="H8" s="13" t="s">
        <v>52</v>
      </c>
      <c r="I8" s="15" t="s">
        <v>53</v>
      </c>
      <c r="J8" s="13" t="s">
        <v>50</v>
      </c>
      <c r="K8" s="15" t="s">
        <v>187</v>
      </c>
      <c r="L8" s="15" t="s">
        <v>286</v>
      </c>
      <c r="M8" s="16" t="n">
        <v>0.3125</v>
      </c>
      <c r="N8" s="16" t="n">
        <v>0.5</v>
      </c>
      <c r="O8" s="17" t="n">
        <f aca="false">(N8-M8)*24</f>
        <v>4.5</v>
      </c>
      <c r="P8" s="13" t="n">
        <v>1</v>
      </c>
      <c r="Q8" s="17" t="n">
        <f aca="false">P8*O8</f>
        <v>4.5</v>
      </c>
    </row>
    <row r="9" customFormat="false" ht="15" hidden="false" customHeight="false" outlineLevel="0" collapsed="false">
      <c r="A9" s="13" t="str">
        <f aca="false">"W"&amp;WEEKNUM(B9,21)</f>
        <v>W43</v>
      </c>
      <c r="B9" s="14" t="n">
        <v>46320</v>
      </c>
      <c r="C9" s="13"/>
      <c r="D9" s="13"/>
      <c r="E9" s="13"/>
      <c r="F9" s="13"/>
      <c r="G9" s="13" t="s">
        <v>28</v>
      </c>
      <c r="H9" s="13" t="s">
        <v>52</v>
      </c>
      <c r="I9" s="15" t="s">
        <v>53</v>
      </c>
      <c r="J9" s="13" t="s">
        <v>50</v>
      </c>
      <c r="K9" s="15" t="s">
        <v>198</v>
      </c>
      <c r="L9" s="15" t="s">
        <v>287</v>
      </c>
      <c r="M9" s="16" t="n">
        <v>0.3125</v>
      </c>
      <c r="N9" s="16" t="n">
        <v>0.5</v>
      </c>
      <c r="O9" s="17" t="n">
        <f aca="false">(N9-M9)*24</f>
        <v>4.5</v>
      </c>
      <c r="P9" s="13" t="n">
        <v>4</v>
      </c>
      <c r="Q9" s="17" t="n">
        <f aca="false">P9*O9</f>
        <v>18</v>
      </c>
    </row>
    <row r="10" customFormat="false" ht="15" hidden="false" customHeight="false" outlineLevel="0" collapsed="false">
      <c r="A10" s="13" t="str">
        <f aca="false">"W"&amp;WEEKNUM(B10,21)</f>
        <v>W43</v>
      </c>
      <c r="B10" s="14" t="n">
        <v>46320</v>
      </c>
      <c r="C10" s="13"/>
      <c r="D10" s="13"/>
      <c r="E10" s="13"/>
      <c r="F10" s="13"/>
      <c r="G10" s="13" t="s">
        <v>28</v>
      </c>
      <c r="H10" s="13" t="s">
        <v>52</v>
      </c>
      <c r="I10" s="15" t="s">
        <v>53</v>
      </c>
      <c r="J10" s="13" t="s">
        <v>50</v>
      </c>
      <c r="K10" s="15" t="s">
        <v>210</v>
      </c>
      <c r="L10" s="15" t="s">
        <v>288</v>
      </c>
      <c r="M10" s="16" t="n">
        <v>0.3125</v>
      </c>
      <c r="N10" s="16" t="n">
        <v>0.5</v>
      </c>
      <c r="O10" s="17" t="n">
        <f aca="false">(N10-M10)*24</f>
        <v>4.5</v>
      </c>
      <c r="P10" s="13" t="n">
        <v>1</v>
      </c>
      <c r="Q10" s="17" t="n">
        <f aca="false">P10*O10</f>
        <v>4.5</v>
      </c>
    </row>
    <row r="11" customFormat="false" ht="15" hidden="false" customHeight="false" outlineLevel="0" collapsed="false">
      <c r="A11" s="13" t="str">
        <f aca="false">"W"&amp;WEEKNUM(B11,21)</f>
        <v>W43</v>
      </c>
      <c r="B11" s="14" t="n">
        <v>46320</v>
      </c>
      <c r="C11" s="13"/>
      <c r="D11" s="13"/>
      <c r="E11" s="13"/>
      <c r="F11" s="13"/>
      <c r="G11" s="13" t="s">
        <v>28</v>
      </c>
      <c r="H11" s="13" t="s">
        <v>52</v>
      </c>
      <c r="I11" s="15" t="s">
        <v>53</v>
      </c>
      <c r="J11" s="13" t="s">
        <v>50</v>
      </c>
      <c r="K11" s="15" t="s">
        <v>233</v>
      </c>
      <c r="L11" s="15" t="s">
        <v>289</v>
      </c>
      <c r="M11" s="16" t="n">
        <v>0.3125</v>
      </c>
      <c r="N11" s="16" t="n">
        <v>0.5</v>
      </c>
      <c r="O11" s="17" t="n">
        <f aca="false">(N11-M11)*24</f>
        <v>4.5</v>
      </c>
      <c r="P11" s="13" t="n">
        <v>2</v>
      </c>
      <c r="Q11" s="17" t="n">
        <f aca="false">P11*O11</f>
        <v>9</v>
      </c>
    </row>
    <row r="12" customFormat="false" ht="15" hidden="false" customHeight="false" outlineLevel="0" collapsed="false">
      <c r="A12" s="13" t="str">
        <f aca="false">"W"&amp;WEEKNUM(B12,21)</f>
        <v>W43</v>
      </c>
      <c r="B12" s="14" t="n">
        <v>46320</v>
      </c>
      <c r="C12" s="13"/>
      <c r="D12" s="13"/>
      <c r="E12" s="13"/>
      <c r="F12" s="13"/>
      <c r="G12" s="13" t="s">
        <v>28</v>
      </c>
      <c r="H12" s="13" t="s">
        <v>52</v>
      </c>
      <c r="I12" s="15" t="s">
        <v>53</v>
      </c>
      <c r="J12" s="13" t="s">
        <v>50</v>
      </c>
      <c r="K12" s="15" t="s">
        <v>245</v>
      </c>
      <c r="L12" s="15" t="s">
        <v>290</v>
      </c>
      <c r="M12" s="16" t="n">
        <v>0.3125</v>
      </c>
      <c r="N12" s="16" t="n">
        <v>0.5</v>
      </c>
      <c r="O12" s="17" t="n">
        <f aca="false">(N12-M12)*24</f>
        <v>4.5</v>
      </c>
      <c r="P12" s="13" t="n">
        <v>4</v>
      </c>
      <c r="Q12" s="17" t="n">
        <f aca="false">P12*O12</f>
        <v>18</v>
      </c>
    </row>
    <row r="13" customFormat="false" ht="15" hidden="false" customHeight="false" outlineLevel="0" collapsed="false">
      <c r="A13" s="13" t="str">
        <f aca="false">"W"&amp;WEEKNUM(B13,21)</f>
        <v>W43</v>
      </c>
      <c r="B13" s="14" t="n">
        <v>46320</v>
      </c>
      <c r="C13" s="13"/>
      <c r="D13" s="13"/>
      <c r="E13" s="13"/>
      <c r="F13" s="13"/>
      <c r="G13" s="13" t="s">
        <v>28</v>
      </c>
      <c r="H13" s="13" t="s">
        <v>52</v>
      </c>
      <c r="I13" s="15" t="s">
        <v>53</v>
      </c>
      <c r="J13" s="13" t="s">
        <v>50</v>
      </c>
      <c r="K13" s="15" t="s">
        <v>257</v>
      </c>
      <c r="L13" s="15" t="s">
        <v>291</v>
      </c>
      <c r="M13" s="16" t="n">
        <v>0.3125</v>
      </c>
      <c r="N13" s="16" t="n">
        <v>0.5</v>
      </c>
      <c r="O13" s="17" t="n">
        <f aca="false">(N13-M13)*24</f>
        <v>4.5</v>
      </c>
      <c r="P13" s="13" t="n">
        <v>2</v>
      </c>
      <c r="Q13" s="17" t="n">
        <f aca="false">P13*O13</f>
        <v>9</v>
      </c>
    </row>
    <row r="14" customFormat="false" ht="15" hidden="false" customHeight="false" outlineLevel="0" collapsed="false">
      <c r="A14" s="13" t="str">
        <f aca="false">"W"&amp;WEEKNUM(B14,21)</f>
        <v>W43</v>
      </c>
      <c r="B14" s="14" t="n">
        <v>46320</v>
      </c>
      <c r="C14" s="13"/>
      <c r="D14" s="13"/>
      <c r="E14" s="13"/>
      <c r="F14" s="13"/>
      <c r="G14" s="13" t="s">
        <v>28</v>
      </c>
      <c r="H14" s="13" t="s">
        <v>52</v>
      </c>
      <c r="I14" s="15" t="s">
        <v>53</v>
      </c>
      <c r="J14" s="13" t="s">
        <v>50</v>
      </c>
      <c r="K14" s="15" t="s">
        <v>269</v>
      </c>
      <c r="L14" s="15" t="s">
        <v>292</v>
      </c>
      <c r="M14" s="16" t="n">
        <v>0.3125</v>
      </c>
      <c r="N14" s="16" t="n">
        <v>0.5</v>
      </c>
      <c r="O14" s="17" t="n">
        <f aca="false">(N14-M14)*24</f>
        <v>4.5</v>
      </c>
      <c r="P14" s="13" t="n">
        <v>2</v>
      </c>
      <c r="Q14" s="17" t="n">
        <f aca="false">P14*O14</f>
        <v>9</v>
      </c>
    </row>
    <row r="15" customFormat="false" ht="15" hidden="false" customHeight="false" outlineLevel="0" collapsed="false">
      <c r="P15" s="18" t="s">
        <v>75</v>
      </c>
      <c r="Q15" s="19" t="n">
        <f aca="false">SUM(Q3:Q14)</f>
        <v>122</v>
      </c>
    </row>
    <row r="17" customFormat="false" ht="15" hidden="false" customHeight="false" outlineLevel="0" collapsed="false">
      <c r="A17" s="20" t="s">
        <v>76</v>
      </c>
    </row>
  </sheetData>
  <autoFilter ref="A2:Q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293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W44</v>
      </c>
      <c r="B23" s="14" t="n">
        <v>46321</v>
      </c>
      <c r="C23" s="13"/>
      <c r="D23" s="13"/>
      <c r="E23" s="13"/>
      <c r="F23" s="13"/>
      <c r="G23" s="13" t="s">
        <v>72</v>
      </c>
      <c r="H23" s="13" t="s">
        <v>52</v>
      </c>
      <c r="I23" s="15" t="s">
        <v>53</v>
      </c>
      <c r="J23" s="13" t="s">
        <v>50</v>
      </c>
      <c r="K23" s="15" t="s">
        <v>168</v>
      </c>
      <c r="L23" s="15" t="s">
        <v>284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1</v>
      </c>
      <c r="Q23" s="17" t="n">
        <f aca="false">P23*O23</f>
        <v>4.5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177</v>
      </c>
      <c r="L24" s="15" t="s">
        <v>294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2</v>
      </c>
      <c r="Q24" s="17" t="n">
        <f aca="false">P24*O24</f>
        <v>9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46321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285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46321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285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187</v>
      </c>
      <c r="L27" s="15" t="s">
        <v>295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198</v>
      </c>
      <c r="L28" s="15" t="s">
        <v>296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210</v>
      </c>
      <c r="L29" s="15" t="s">
        <v>297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233</v>
      </c>
      <c r="L30" s="15" t="s">
        <v>298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289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245</v>
      </c>
      <c r="L32" s="15" t="s">
        <v>299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290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46321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257</v>
      </c>
      <c r="L34" s="15" t="s">
        <v>291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291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300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269</v>
      </c>
      <c r="L37" s="15" t="s">
        <v>292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292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301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281</v>
      </c>
      <c r="L40" s="15" t="s">
        <v>302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339.5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303</v>
      </c>
    </row>
    <row r="3" customFormat="false" ht="15" hidden="false" customHeight="false" outlineLevel="0" collapsed="false">
      <c r="A3" s="18" t="s">
        <v>304</v>
      </c>
    </row>
    <row r="4" customFormat="false" ht="25.35" hidden="false" customHeight="false" outlineLevel="0" collapsed="false">
      <c r="A4" s="2" t="s">
        <v>8</v>
      </c>
      <c r="B4" s="2" t="s">
        <v>305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306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307</v>
      </c>
    </row>
    <row r="13" customFormat="false" ht="25.35" hidden="false" customHeight="false" outlineLevel="0" collapsed="false">
      <c r="A13" s="2" t="s">
        <v>8</v>
      </c>
      <c r="B13" s="2" t="s">
        <v>305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306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308</v>
      </c>
    </row>
    <row r="22" customFormat="false" ht="25.35" hidden="false" customHeight="false" outlineLevel="0" collapsed="false">
      <c r="A22" s="2" t="s">
        <v>8</v>
      </c>
      <c r="B22" s="2" t="s">
        <v>305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306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309</v>
      </c>
    </row>
    <row r="31" customFormat="false" ht="25.35" hidden="false" customHeight="false" outlineLevel="0" collapsed="false">
      <c r="A31" s="2" t="s">
        <v>8</v>
      </c>
      <c r="B31" s="2" t="s">
        <v>305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306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310</v>
      </c>
    </row>
    <row r="40" customFormat="false" ht="25.35" hidden="false" customHeight="false" outlineLevel="0" collapsed="false">
      <c r="A40" s="2" t="s">
        <v>8</v>
      </c>
      <c r="B40" s="2" t="s">
        <v>305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306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311</v>
      </c>
    </row>
    <row r="49" customFormat="false" ht="25.35" hidden="false" customHeight="false" outlineLevel="0" collapsed="false">
      <c r="A49" s="2" t="s">
        <v>8</v>
      </c>
      <c r="B49" s="2" t="s">
        <v>305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306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312</v>
      </c>
    </row>
    <row r="58" customFormat="false" ht="25.35" hidden="false" customHeight="false" outlineLevel="0" collapsed="false">
      <c r="A58" s="2" t="s">
        <v>8</v>
      </c>
      <c r="B58" s="2" t="s">
        <v>305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306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313</v>
      </c>
    </row>
    <row r="67" customFormat="false" ht="25.35" hidden="false" customHeight="false" outlineLevel="0" collapsed="false">
      <c r="A67" s="2" t="s">
        <v>8</v>
      </c>
      <c r="B67" s="2" t="s">
        <v>305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306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314</v>
      </c>
    </row>
    <row r="76" customFormat="false" ht="25.35" hidden="false" customHeight="false" outlineLevel="0" collapsed="false">
      <c r="A76" s="2" t="s">
        <v>8</v>
      </c>
      <c r="B76" s="2" t="s">
        <v>305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306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315</v>
      </c>
    </row>
    <row r="85" customFormat="false" ht="25.35" hidden="false" customHeight="false" outlineLevel="0" collapsed="false">
      <c r="A85" s="2" t="s">
        <v>8</v>
      </c>
      <c r="B85" s="2" t="s">
        <v>305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306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316</v>
      </c>
    </row>
    <row r="94" customFormat="false" ht="25.35" hidden="false" customHeight="false" outlineLevel="0" collapsed="false">
      <c r="A94" s="2" t="s">
        <v>8</v>
      </c>
      <c r="B94" s="2" t="s">
        <v>305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306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317</v>
      </c>
    </row>
    <row r="103" customFormat="false" ht="25.35" hidden="false" customHeight="false" outlineLevel="0" collapsed="false">
      <c r="A103" s="2" t="s">
        <v>8</v>
      </c>
      <c r="B103" s="2" t="s">
        <v>305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306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318</v>
      </c>
    </row>
    <row r="112" customFormat="false" ht="25.35" hidden="false" customHeight="false" outlineLevel="0" collapsed="false">
      <c r="A112" s="2" t="s">
        <v>8</v>
      </c>
      <c r="B112" s="2" t="s">
        <v>305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306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319</v>
      </c>
    </row>
    <row r="121" customFormat="false" ht="25.35" hidden="false" customHeight="false" outlineLevel="0" collapsed="false">
      <c r="A121" s="2" t="s">
        <v>8</v>
      </c>
      <c r="B121" s="2" t="s">
        <v>305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306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320</v>
      </c>
    </row>
    <row r="130" customFormat="false" ht="25.35" hidden="false" customHeight="false" outlineLevel="0" collapsed="false">
      <c r="A130" s="2" t="s">
        <v>8</v>
      </c>
      <c r="B130" s="2" t="s">
        <v>305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306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8" customFormat="false" ht="15" hidden="false" customHeight="false" outlineLevel="0" collapsed="false">
      <c r="A138" s="18" t="s">
        <v>321</v>
      </c>
    </row>
    <row r="139" customFormat="false" ht="25.35" hidden="false" customHeight="false" outlineLevel="0" collapsed="false">
      <c r="A139" s="2" t="s">
        <v>8</v>
      </c>
      <c r="B139" s="2" t="s">
        <v>305</v>
      </c>
      <c r="C139" s="2" t="s">
        <v>18</v>
      </c>
      <c r="D139" s="2" t="s">
        <v>23</v>
      </c>
      <c r="E139" s="2" t="s">
        <v>25</v>
      </c>
      <c r="F139" s="2" t="s">
        <v>28</v>
      </c>
      <c r="G139" s="2" t="s">
        <v>68</v>
      </c>
      <c r="H139" s="2" t="s">
        <v>72</v>
      </c>
      <c r="I139" s="2" t="s">
        <v>306</v>
      </c>
      <c r="J139" s="2" t="s">
        <v>75</v>
      </c>
    </row>
    <row r="140" customFormat="false" ht="15" hidden="false" customHeight="false" outlineLevel="0" collapsed="false">
      <c r="A140" s="22" t="s">
        <v>19</v>
      </c>
      <c r="B140" s="22" t="s">
        <v>20</v>
      </c>
      <c r="C140" s="23" t="n">
        <f aca="false">SUMIFS('Loss time 22-10'!$Q$3:$Q$44,'Loss time 22-10'!$H$3:$H$44,$A140,'Loss time 22-10'!$G$3:$G$44,C$139)</f>
        <v>3.5</v>
      </c>
      <c r="D140" s="23" t="n">
        <f aca="false">SUMIFS('Loss time 22-10'!$Q$3:$Q$44,'Loss time 22-10'!$H$3:$H$44,$A140,'Loss time 22-10'!$G$3:$G$44,D$139)</f>
        <v>9</v>
      </c>
      <c r="E140" s="23" t="n">
        <f aca="false">SUMIFS('Loss time 22-10'!$Q$3:$Q$44,'Loss time 22-10'!$H$3:$H$44,$A140,'Loss time 22-10'!$G$3:$G$44,E$139)</f>
        <v>9.5</v>
      </c>
      <c r="F140" s="23" t="n">
        <f aca="false">SUMIFS('Loss time 22-10'!$Q$3:$Q$44,'Loss time 22-10'!$H$3:$H$44,$A140,'Loss time 22-10'!$G$3:$G$44,F$139)</f>
        <v>25</v>
      </c>
      <c r="G140" s="23" t="n">
        <f aca="false">SUMIFS('Loss time 22-10'!$Q$3:$Q$44,'Loss time 22-10'!$H$3:$H$44,$A140,'Loss time 22-10'!$G$3:$G$44,G$139)</f>
        <v>0</v>
      </c>
      <c r="H140" s="23" t="n">
        <f aca="false">SUMIFS('Loss time 22-10'!$Q$3:$Q$44,'Loss time 22-10'!$H$3:$H$44,$A140,'Loss time 22-10'!$G$3:$G$44,H$139)</f>
        <v>0</v>
      </c>
      <c r="I140" s="23" t="n">
        <f aca="false">SUMIFS('Loss time 22-10'!$Q$3:$Q$44,'Loss time 22-10'!$H$3:$H$44,$A140,'Loss time 22-10'!$G$3:$G$44,I$139)</f>
        <v>0</v>
      </c>
      <c r="J140" s="24" t="n">
        <f aca="false">SUM(C140:I140)</f>
        <v>47</v>
      </c>
    </row>
    <row r="141" customFormat="false" ht="15" hidden="false" customHeight="false" outlineLevel="0" collapsed="false">
      <c r="A141" s="22" t="s">
        <v>30</v>
      </c>
      <c r="B141" s="22" t="s">
        <v>31</v>
      </c>
      <c r="C141" s="23" t="n">
        <f aca="false">SUMIFS('Loss time 22-10'!$Q$3:$Q$44,'Loss time 22-10'!$H$3:$H$44,$A141,'Loss time 22-10'!$G$3:$G$44,C$139)</f>
        <v>12.5</v>
      </c>
      <c r="D141" s="23" t="n">
        <f aca="false">SUMIFS('Loss time 22-10'!$Q$3:$Q$44,'Loss time 22-10'!$H$3:$H$44,$A141,'Loss time 22-10'!$G$3:$G$44,D$139)</f>
        <v>112.5</v>
      </c>
      <c r="E141" s="23" t="n">
        <f aca="false">SUMIFS('Loss time 22-10'!$Q$3:$Q$44,'Loss time 22-10'!$H$3:$H$44,$A141,'Loss time 22-10'!$G$3:$G$44,E$139)</f>
        <v>75</v>
      </c>
      <c r="F141" s="23" t="n">
        <f aca="false">SUMIFS('Loss time 22-10'!$Q$3:$Q$44,'Loss time 22-10'!$H$3:$H$44,$A141,'Loss time 22-10'!$G$3:$G$44,F$139)</f>
        <v>25</v>
      </c>
      <c r="G141" s="23" t="n">
        <f aca="false">SUMIFS('Loss time 22-10'!$Q$3:$Q$44,'Loss time 22-10'!$H$3:$H$44,$A141,'Loss time 22-10'!$G$3:$G$44,G$139)</f>
        <v>0</v>
      </c>
      <c r="H141" s="23" t="n">
        <f aca="false">SUMIFS('Loss time 22-10'!$Q$3:$Q$44,'Loss time 22-10'!$H$3:$H$44,$A141,'Loss time 22-10'!$G$3:$G$44,H$139)</f>
        <v>0</v>
      </c>
      <c r="I141" s="23" t="n">
        <f aca="false">SUMIFS('Loss time 22-10'!$Q$3:$Q$44,'Loss time 22-10'!$H$3:$H$44,$A141,'Loss time 22-10'!$G$3:$G$44,I$139)</f>
        <v>0</v>
      </c>
      <c r="J141" s="24" t="n">
        <f aca="false">SUM(C141:I141)</f>
        <v>225</v>
      </c>
    </row>
    <row r="142" customFormat="false" ht="15" hidden="false" customHeight="false" outlineLevel="0" collapsed="false">
      <c r="A142" s="22" t="s">
        <v>48</v>
      </c>
      <c r="B142" s="22" t="s">
        <v>49</v>
      </c>
      <c r="C142" s="23" t="n">
        <f aca="false">SUMIFS('Loss time 22-10'!$Q$3:$Q$44,'Loss time 22-10'!$H$3:$H$44,$A142,'Loss time 22-10'!$G$3:$G$44,C$139)</f>
        <v>0</v>
      </c>
      <c r="D142" s="23" t="n">
        <f aca="false">SUMIFS('Loss time 22-10'!$Q$3:$Q$44,'Loss time 22-10'!$H$3:$H$44,$A142,'Loss time 22-10'!$G$3:$G$44,D$139)</f>
        <v>0</v>
      </c>
      <c r="E142" s="23" t="n">
        <f aca="false">SUMIFS('Loss time 22-10'!$Q$3:$Q$44,'Loss time 22-10'!$H$3:$H$44,$A142,'Loss time 22-10'!$G$3:$G$44,E$139)</f>
        <v>8</v>
      </c>
      <c r="F142" s="23" t="n">
        <f aca="false">SUMIFS('Loss time 22-10'!$Q$3:$Q$44,'Loss time 22-10'!$H$3:$H$44,$A142,'Loss time 22-10'!$G$3:$G$44,F$139)</f>
        <v>16</v>
      </c>
      <c r="G142" s="23" t="n">
        <f aca="false">SUMIFS('Loss time 22-10'!$Q$3:$Q$44,'Loss time 22-10'!$H$3:$H$44,$A142,'Loss time 22-10'!$G$3:$G$44,G$139)</f>
        <v>0</v>
      </c>
      <c r="H142" s="23" t="n">
        <f aca="false">SUMIFS('Loss time 22-10'!$Q$3:$Q$44,'Loss time 22-10'!$H$3:$H$44,$A142,'Loss time 22-10'!$G$3:$G$44,H$139)</f>
        <v>24</v>
      </c>
      <c r="I142" s="23" t="n">
        <f aca="false">SUMIFS('Loss time 22-10'!$Q$3:$Q$44,'Loss time 22-10'!$H$3:$H$44,$A142,'Loss time 22-10'!$G$3:$G$44,I$139)</f>
        <v>0</v>
      </c>
      <c r="J142" s="24" t="n">
        <f aca="false">SUM(C142:I142)</f>
        <v>48</v>
      </c>
    </row>
    <row r="143" customFormat="false" ht="15" hidden="false" customHeight="false" outlineLevel="0" collapsed="false">
      <c r="A143" s="22" t="s">
        <v>52</v>
      </c>
      <c r="B143" s="22" t="s">
        <v>53</v>
      </c>
      <c r="C143" s="23" t="n">
        <f aca="false">SUMIFS('Loss time 22-10'!$Q$3:$Q$44,'Loss time 22-10'!$H$3:$H$44,$A143,'Loss time 22-10'!$G$3:$G$44,C$139)</f>
        <v>0</v>
      </c>
      <c r="D143" s="23" t="n">
        <f aca="false">SUMIFS('Loss time 22-10'!$Q$3:$Q$44,'Loss time 22-10'!$H$3:$H$44,$A143,'Loss time 22-10'!$G$3:$G$44,D$139)</f>
        <v>0</v>
      </c>
      <c r="E143" s="23" t="n">
        <f aca="false">SUMIFS('Loss time 22-10'!$Q$3:$Q$44,'Loss time 22-10'!$H$3:$H$44,$A143,'Loss time 22-10'!$G$3:$G$44,E$139)</f>
        <v>40.5</v>
      </c>
      <c r="F143" s="23" t="n">
        <f aca="false">SUMIFS('Loss time 22-10'!$Q$3:$Q$44,'Loss time 22-10'!$H$3:$H$44,$A143,'Loss time 22-10'!$G$3:$G$44,F$139)</f>
        <v>108</v>
      </c>
      <c r="G143" s="23" t="n">
        <f aca="false">SUMIFS('Loss time 22-10'!$Q$3:$Q$44,'Loss time 22-10'!$H$3:$H$44,$A143,'Loss time 22-10'!$G$3:$G$44,G$139)</f>
        <v>0</v>
      </c>
      <c r="H143" s="23" t="n">
        <f aca="false">SUMIFS('Loss time 22-10'!$Q$3:$Q$44,'Loss time 22-10'!$H$3:$H$44,$A143,'Loss time 22-10'!$G$3:$G$44,H$139)</f>
        <v>40.5</v>
      </c>
      <c r="I143" s="23" t="n">
        <f aca="false">SUMIFS('Loss time 22-10'!$Q$3:$Q$44,'Loss time 22-10'!$H$3:$H$44,$A143,'Loss time 22-10'!$G$3:$G$44,I$139)</f>
        <v>0</v>
      </c>
      <c r="J143" s="24" t="n">
        <f aca="false">SUM(C143:I143)</f>
        <v>189</v>
      </c>
    </row>
    <row r="144" customFormat="false" ht="15" hidden="false" customHeight="false" outlineLevel="0" collapsed="false">
      <c r="A144" s="25" t="s">
        <v>75</v>
      </c>
      <c r="B144" s="25"/>
      <c r="C144" s="24" t="n">
        <f aca="false">SUM(C140:C143)</f>
        <v>16</v>
      </c>
      <c r="D144" s="24" t="n">
        <f aca="false">SUM(D140:D143)</f>
        <v>121.5</v>
      </c>
      <c r="E144" s="24" t="n">
        <f aca="false">SUM(E140:E143)</f>
        <v>133</v>
      </c>
      <c r="F144" s="24" t="n">
        <f aca="false">SUM(F140:F143)</f>
        <v>174</v>
      </c>
      <c r="G144" s="24" t="n">
        <f aca="false">SUM(G140:G143)</f>
        <v>0</v>
      </c>
      <c r="H144" s="24" t="n">
        <f aca="false">SUM(H140:H143)</f>
        <v>64.5</v>
      </c>
      <c r="I144" s="24" t="n">
        <f aca="false">SUM(I140:I143)</f>
        <v>0</v>
      </c>
      <c r="J144" s="24" t="n">
        <f aca="false">SUM(J140:J143)</f>
        <v>509</v>
      </c>
    </row>
    <row r="147" customFormat="false" ht="15" hidden="false" customHeight="false" outlineLevel="0" collapsed="false">
      <c r="A147" s="18" t="s">
        <v>322</v>
      </c>
    </row>
    <row r="148" customFormat="false" ht="25.35" hidden="false" customHeight="false" outlineLevel="0" collapsed="false">
      <c r="A148" s="2" t="s">
        <v>8</v>
      </c>
      <c r="B148" s="2" t="s">
        <v>305</v>
      </c>
      <c r="C148" s="2" t="s">
        <v>18</v>
      </c>
      <c r="D148" s="2" t="s">
        <v>23</v>
      </c>
      <c r="E148" s="2" t="s">
        <v>25</v>
      </c>
      <c r="F148" s="2" t="s">
        <v>28</v>
      </c>
      <c r="G148" s="2" t="s">
        <v>68</v>
      </c>
      <c r="H148" s="2" t="s">
        <v>72</v>
      </c>
      <c r="I148" s="2" t="s">
        <v>306</v>
      </c>
      <c r="J148" s="2" t="s">
        <v>75</v>
      </c>
    </row>
    <row r="149" customFormat="false" ht="15" hidden="false" customHeight="false" outlineLevel="0" collapsed="false">
      <c r="A149" s="22" t="s">
        <v>19</v>
      </c>
      <c r="B149" s="22" t="s">
        <v>20</v>
      </c>
      <c r="C149" s="23" t="n">
        <f aca="false">SUMIFS('Loss time 23-10'!$Q$3:$Q$43,'Loss time 23-10'!$H$3:$H$43,$A149,'Loss time 23-10'!$G$3:$G$43,C$148)</f>
        <v>3.5</v>
      </c>
      <c r="D149" s="23" t="n">
        <f aca="false">SUMIFS('Loss time 23-10'!$Q$3:$Q$43,'Loss time 23-10'!$H$3:$H$43,$A149,'Loss time 23-10'!$G$3:$G$43,D$148)</f>
        <v>9</v>
      </c>
      <c r="E149" s="23" t="n">
        <f aca="false">SUMIFS('Loss time 23-10'!$Q$3:$Q$43,'Loss time 23-10'!$H$3:$H$43,$A149,'Loss time 23-10'!$G$3:$G$43,E$148)</f>
        <v>9.5</v>
      </c>
      <c r="F149" s="23" t="n">
        <f aca="false">SUMIFS('Loss time 23-10'!$Q$3:$Q$43,'Loss time 23-10'!$H$3:$H$43,$A149,'Loss time 23-10'!$G$3:$G$43,F$148)</f>
        <v>25</v>
      </c>
      <c r="G149" s="23" t="n">
        <f aca="false">SUMIFS('Loss time 23-10'!$Q$3:$Q$43,'Loss time 23-10'!$H$3:$H$43,$A149,'Loss time 23-10'!$G$3:$G$43,G$148)</f>
        <v>0</v>
      </c>
      <c r="H149" s="23" t="n">
        <f aca="false">SUMIFS('Loss time 23-10'!$Q$3:$Q$43,'Loss time 23-10'!$H$3:$H$43,$A149,'Loss time 23-10'!$G$3:$G$43,H$148)</f>
        <v>0</v>
      </c>
      <c r="I149" s="23" t="n">
        <f aca="false">SUMIFS('Loss time 23-10'!$Q$3:$Q$43,'Loss time 23-10'!$H$3:$H$43,$A149,'Loss time 23-10'!$G$3:$G$43,I$148)</f>
        <v>0</v>
      </c>
      <c r="J149" s="24" t="n">
        <f aca="false">SUM(C149:I149)</f>
        <v>47</v>
      </c>
    </row>
    <row r="150" customFormat="false" ht="15" hidden="false" customHeight="false" outlineLevel="0" collapsed="false">
      <c r="A150" s="22" t="s">
        <v>30</v>
      </c>
      <c r="B150" s="22" t="s">
        <v>31</v>
      </c>
      <c r="C150" s="23" t="n">
        <f aca="false">SUMIFS('Loss time 23-10'!$Q$3:$Q$43,'Loss time 23-10'!$H$3:$H$43,$A150,'Loss time 23-10'!$G$3:$G$43,C$148)</f>
        <v>12.5</v>
      </c>
      <c r="D150" s="23" t="n">
        <f aca="false">SUMIFS('Loss time 23-10'!$Q$3:$Q$43,'Loss time 23-10'!$H$3:$H$43,$A150,'Loss time 23-10'!$G$3:$G$43,D$148)</f>
        <v>112.5</v>
      </c>
      <c r="E150" s="23" t="n">
        <f aca="false">SUMIFS('Loss time 23-10'!$Q$3:$Q$43,'Loss time 23-10'!$H$3:$H$43,$A150,'Loss time 23-10'!$G$3:$G$43,E$148)</f>
        <v>75</v>
      </c>
      <c r="F150" s="23" t="n">
        <f aca="false">SUMIFS('Loss time 23-10'!$Q$3:$Q$43,'Loss time 23-10'!$H$3:$H$43,$A150,'Loss time 23-10'!$G$3:$G$43,F$148)</f>
        <v>25</v>
      </c>
      <c r="G150" s="23" t="n">
        <f aca="false">SUMIFS('Loss time 23-10'!$Q$3:$Q$43,'Loss time 23-10'!$H$3:$H$43,$A150,'Loss time 23-10'!$G$3:$G$43,G$148)</f>
        <v>0</v>
      </c>
      <c r="H150" s="23" t="n">
        <f aca="false">SUMIFS('Loss time 23-10'!$Q$3:$Q$43,'Loss time 23-10'!$H$3:$H$43,$A150,'Loss time 23-10'!$G$3:$G$43,H$148)</f>
        <v>0</v>
      </c>
      <c r="I150" s="23" t="n">
        <f aca="false">SUMIFS('Loss time 23-10'!$Q$3:$Q$43,'Loss time 23-10'!$H$3:$H$43,$A150,'Loss time 23-10'!$G$3:$G$43,I$148)</f>
        <v>0</v>
      </c>
      <c r="J150" s="24" t="n">
        <f aca="false">SUM(C150:I150)</f>
        <v>225</v>
      </c>
    </row>
    <row r="151" customFormat="false" ht="15" hidden="false" customHeight="false" outlineLevel="0" collapsed="false">
      <c r="A151" s="22" t="s">
        <v>48</v>
      </c>
      <c r="B151" s="22" t="s">
        <v>49</v>
      </c>
      <c r="C151" s="23" t="n">
        <f aca="false">SUMIFS('Loss time 23-10'!$Q$3:$Q$43,'Loss time 23-10'!$H$3:$H$43,$A151,'Loss time 23-10'!$G$3:$G$43,C$148)</f>
        <v>0</v>
      </c>
      <c r="D151" s="23" t="n">
        <f aca="false">SUMIFS('Loss time 23-10'!$Q$3:$Q$43,'Loss time 23-10'!$H$3:$H$43,$A151,'Loss time 23-10'!$G$3:$G$43,D$148)</f>
        <v>0</v>
      </c>
      <c r="E151" s="23" t="n">
        <f aca="false">SUMIFS('Loss time 23-10'!$Q$3:$Q$43,'Loss time 23-10'!$H$3:$H$43,$A151,'Loss time 23-10'!$G$3:$G$43,E$148)</f>
        <v>0</v>
      </c>
      <c r="F151" s="23" t="n">
        <f aca="false">SUMIFS('Loss time 23-10'!$Q$3:$Q$43,'Loss time 23-10'!$H$3:$H$43,$A151,'Loss time 23-10'!$G$3:$G$43,F$148)</f>
        <v>0</v>
      </c>
      <c r="G151" s="23" t="n">
        <f aca="false">SUMIFS('Loss time 23-10'!$Q$3:$Q$43,'Loss time 23-10'!$H$3:$H$43,$A151,'Loss time 23-10'!$G$3:$G$43,G$148)</f>
        <v>0</v>
      </c>
      <c r="H151" s="23" t="n">
        <f aca="false">SUMIFS('Loss time 23-10'!$Q$3:$Q$43,'Loss time 23-10'!$H$3:$H$43,$A151,'Loss time 23-10'!$G$3:$G$43,H$148)</f>
        <v>8</v>
      </c>
      <c r="I151" s="23" t="n">
        <f aca="false">SUMIFS('Loss time 23-10'!$Q$3:$Q$43,'Loss time 23-10'!$H$3:$H$43,$A151,'Loss time 23-10'!$G$3:$G$43,I$148)</f>
        <v>0</v>
      </c>
      <c r="J151" s="24" t="n">
        <f aca="false">SUM(C151:I151)</f>
        <v>8</v>
      </c>
    </row>
    <row r="152" customFormat="false" ht="15" hidden="false" customHeight="false" outlineLevel="0" collapsed="false">
      <c r="A152" s="22" t="s">
        <v>52</v>
      </c>
      <c r="B152" s="22" t="s">
        <v>53</v>
      </c>
      <c r="C152" s="23" t="n">
        <f aca="false">SUMIFS('Loss time 23-10'!$Q$3:$Q$43,'Loss time 23-10'!$H$3:$H$43,$A152,'Loss time 23-10'!$G$3:$G$43,C$148)</f>
        <v>0</v>
      </c>
      <c r="D152" s="23" t="n">
        <f aca="false">SUMIFS('Loss time 23-10'!$Q$3:$Q$43,'Loss time 23-10'!$H$3:$H$43,$A152,'Loss time 23-10'!$G$3:$G$43,D$148)</f>
        <v>0</v>
      </c>
      <c r="E152" s="23" t="n">
        <f aca="false">SUMIFS('Loss time 23-10'!$Q$3:$Q$43,'Loss time 23-10'!$H$3:$H$43,$A152,'Loss time 23-10'!$G$3:$G$43,E$148)</f>
        <v>31.5</v>
      </c>
      <c r="F152" s="23" t="n">
        <f aca="false">SUMIFS('Loss time 23-10'!$Q$3:$Q$43,'Loss time 23-10'!$H$3:$H$43,$A152,'Loss time 23-10'!$G$3:$G$43,F$148)</f>
        <v>117</v>
      </c>
      <c r="G152" s="23" t="n">
        <f aca="false">SUMIFS('Loss time 23-10'!$Q$3:$Q$43,'Loss time 23-10'!$H$3:$H$43,$A152,'Loss time 23-10'!$G$3:$G$43,G$148)</f>
        <v>0</v>
      </c>
      <c r="H152" s="23" t="n">
        <f aca="false">SUMIFS('Loss time 23-10'!$Q$3:$Q$43,'Loss time 23-10'!$H$3:$H$43,$A152,'Loss time 23-10'!$G$3:$G$43,H$148)</f>
        <v>49.5</v>
      </c>
      <c r="I152" s="23" t="n">
        <f aca="false">SUMIFS('Loss time 23-10'!$Q$3:$Q$43,'Loss time 23-10'!$H$3:$H$43,$A152,'Loss time 23-10'!$G$3:$G$43,I$148)</f>
        <v>0</v>
      </c>
      <c r="J152" s="24" t="n">
        <f aca="false">SUM(C152:I152)</f>
        <v>198</v>
      </c>
    </row>
    <row r="153" customFormat="false" ht="15" hidden="false" customHeight="false" outlineLevel="0" collapsed="false">
      <c r="A153" s="25" t="s">
        <v>75</v>
      </c>
      <c r="B153" s="25"/>
      <c r="C153" s="24" t="n">
        <f aca="false">SUM(C149:C152)</f>
        <v>16</v>
      </c>
      <c r="D153" s="24" t="n">
        <f aca="false">SUM(D149:D152)</f>
        <v>121.5</v>
      </c>
      <c r="E153" s="24" t="n">
        <f aca="false">SUM(E149:E152)</f>
        <v>116</v>
      </c>
      <c r="F153" s="24" t="n">
        <f aca="false">SUM(F149:F152)</f>
        <v>167</v>
      </c>
      <c r="G153" s="24" t="n">
        <f aca="false">SUM(G149:G152)</f>
        <v>0</v>
      </c>
      <c r="H153" s="24" t="n">
        <f aca="false">SUM(H149:H152)</f>
        <v>57.5</v>
      </c>
      <c r="I153" s="24" t="n">
        <f aca="false">SUM(I149:I152)</f>
        <v>0</v>
      </c>
      <c r="J153" s="24" t="n">
        <f aca="false">SUM(J149:J152)</f>
        <v>478</v>
      </c>
    </row>
    <row r="156" customFormat="false" ht="15" hidden="false" customHeight="false" outlineLevel="0" collapsed="false">
      <c r="A156" s="18" t="s">
        <v>323</v>
      </c>
    </row>
    <row r="157" customFormat="false" ht="25.35" hidden="false" customHeight="false" outlineLevel="0" collapsed="false">
      <c r="A157" s="2" t="s">
        <v>8</v>
      </c>
      <c r="B157" s="2" t="s">
        <v>305</v>
      </c>
      <c r="C157" s="2" t="s">
        <v>18</v>
      </c>
      <c r="D157" s="2" t="s">
        <v>23</v>
      </c>
      <c r="E157" s="2" t="s">
        <v>25</v>
      </c>
      <c r="F157" s="2" t="s">
        <v>28</v>
      </c>
      <c r="G157" s="2" t="s">
        <v>68</v>
      </c>
      <c r="H157" s="2" t="s">
        <v>72</v>
      </c>
      <c r="I157" s="2" t="s">
        <v>306</v>
      </c>
      <c r="J157" s="2" t="s">
        <v>75</v>
      </c>
    </row>
    <row r="158" customFormat="false" ht="15" hidden="false" customHeight="false" outlineLevel="0" collapsed="false">
      <c r="A158" s="22" t="s">
        <v>19</v>
      </c>
      <c r="B158" s="22" t="s">
        <v>20</v>
      </c>
      <c r="C158" s="23" t="n">
        <f aca="false">SUMIFS('Loss time 24-10'!$Q$3:$Q$41,'Loss time 24-10'!$H$3:$H$41,$A158,'Loss time 24-10'!$G$3:$G$41,C$157)</f>
        <v>3.5</v>
      </c>
      <c r="D158" s="23" t="n">
        <f aca="false">SUMIFS('Loss time 24-10'!$Q$3:$Q$41,'Loss time 24-10'!$H$3:$H$41,$A158,'Loss time 24-10'!$G$3:$G$41,D$157)</f>
        <v>9</v>
      </c>
      <c r="E158" s="23" t="n">
        <f aca="false">SUMIFS('Loss time 24-10'!$Q$3:$Q$41,'Loss time 24-10'!$H$3:$H$41,$A158,'Loss time 24-10'!$G$3:$G$41,E$157)</f>
        <v>9.5</v>
      </c>
      <c r="F158" s="23" t="n">
        <f aca="false">SUMIFS('Loss time 24-10'!$Q$3:$Q$41,'Loss time 24-10'!$H$3:$H$41,$A158,'Loss time 24-10'!$G$3:$G$41,F$157)</f>
        <v>16</v>
      </c>
      <c r="G158" s="23" t="n">
        <f aca="false">SUMIFS('Loss time 24-10'!$Q$3:$Q$41,'Loss time 24-10'!$H$3:$H$41,$A158,'Loss time 24-10'!$G$3:$G$41,G$157)</f>
        <v>0</v>
      </c>
      <c r="H158" s="23" t="n">
        <f aca="false">SUMIFS('Loss time 24-10'!$Q$3:$Q$41,'Loss time 24-10'!$H$3:$H$41,$A158,'Loss time 24-10'!$G$3:$G$41,H$157)</f>
        <v>0</v>
      </c>
      <c r="I158" s="23" t="n">
        <f aca="false">SUMIFS('Loss time 24-10'!$Q$3:$Q$41,'Loss time 24-10'!$H$3:$H$41,$A158,'Loss time 24-10'!$G$3:$G$41,I$157)</f>
        <v>0</v>
      </c>
      <c r="J158" s="24" t="n">
        <f aca="false">SUM(C158:I158)</f>
        <v>38</v>
      </c>
    </row>
    <row r="159" customFormat="false" ht="15" hidden="false" customHeight="false" outlineLevel="0" collapsed="false">
      <c r="A159" s="22" t="s">
        <v>30</v>
      </c>
      <c r="B159" s="22" t="s">
        <v>31</v>
      </c>
      <c r="C159" s="23" t="n">
        <f aca="false">SUMIFS('Loss time 24-10'!$Q$3:$Q$41,'Loss time 24-10'!$H$3:$H$41,$A159,'Loss time 24-10'!$G$3:$G$41,C$157)</f>
        <v>8</v>
      </c>
      <c r="D159" s="23" t="n">
        <f aca="false">SUMIFS('Loss time 24-10'!$Q$3:$Q$41,'Loss time 24-10'!$H$3:$H$41,$A159,'Loss time 24-10'!$G$3:$G$41,D$157)</f>
        <v>72</v>
      </c>
      <c r="E159" s="23" t="n">
        <f aca="false">SUMIFS('Loss time 24-10'!$Q$3:$Q$41,'Loss time 24-10'!$H$3:$H$41,$A159,'Loss time 24-10'!$G$3:$G$41,E$157)</f>
        <v>48</v>
      </c>
      <c r="F159" s="23" t="n">
        <f aca="false">SUMIFS('Loss time 24-10'!$Q$3:$Q$41,'Loss time 24-10'!$H$3:$H$41,$A159,'Loss time 24-10'!$G$3:$G$41,F$157)</f>
        <v>16</v>
      </c>
      <c r="G159" s="23" t="n">
        <f aca="false">SUMIFS('Loss time 24-10'!$Q$3:$Q$41,'Loss time 24-10'!$H$3:$H$41,$A159,'Loss time 24-10'!$G$3:$G$41,G$157)</f>
        <v>0</v>
      </c>
      <c r="H159" s="23" t="n">
        <f aca="false">SUMIFS('Loss time 24-10'!$Q$3:$Q$41,'Loss time 24-10'!$H$3:$H$41,$A159,'Loss time 24-10'!$G$3:$G$41,H$157)</f>
        <v>0</v>
      </c>
      <c r="I159" s="23" t="n">
        <f aca="false">SUMIFS('Loss time 24-10'!$Q$3:$Q$41,'Loss time 24-10'!$H$3:$H$41,$A159,'Loss time 24-10'!$G$3:$G$41,I$157)</f>
        <v>0</v>
      </c>
      <c r="J159" s="24" t="n">
        <f aca="false">SUM(C159:I159)</f>
        <v>144</v>
      </c>
    </row>
    <row r="160" customFormat="false" ht="15" hidden="false" customHeight="false" outlineLevel="0" collapsed="false">
      <c r="A160" s="22" t="s">
        <v>48</v>
      </c>
      <c r="B160" s="22" t="s">
        <v>49</v>
      </c>
      <c r="C160" s="23" t="n">
        <f aca="false">SUMIFS('Loss time 24-10'!$Q$3:$Q$41,'Loss time 24-10'!$H$3:$H$41,$A160,'Loss time 24-10'!$G$3:$G$41,C$157)</f>
        <v>0</v>
      </c>
      <c r="D160" s="23" t="n">
        <f aca="false">SUMIFS('Loss time 24-10'!$Q$3:$Q$41,'Loss time 24-10'!$H$3:$H$41,$A160,'Loss time 24-10'!$G$3:$G$41,D$157)</f>
        <v>0</v>
      </c>
      <c r="E160" s="23" t="n">
        <f aca="false">SUMIFS('Loss time 24-10'!$Q$3:$Q$41,'Loss time 24-10'!$H$3:$H$41,$A160,'Loss time 24-10'!$G$3:$G$41,E$157)</f>
        <v>0</v>
      </c>
      <c r="F160" s="23" t="n">
        <f aca="false">SUMIFS('Loss time 24-10'!$Q$3:$Q$41,'Loss time 24-10'!$H$3:$H$41,$A160,'Loss time 24-10'!$G$3:$G$41,F$157)</f>
        <v>0</v>
      </c>
      <c r="G160" s="23" t="n">
        <f aca="false">SUMIFS('Loss time 24-10'!$Q$3:$Q$41,'Loss time 24-10'!$H$3:$H$41,$A160,'Loss time 24-10'!$G$3:$G$41,G$157)</f>
        <v>0</v>
      </c>
      <c r="H160" s="23" t="n">
        <f aca="false">SUMIFS('Loss time 24-10'!$Q$3:$Q$41,'Loss time 24-10'!$H$3:$H$41,$A160,'Loss time 24-10'!$G$3:$G$41,H$157)</f>
        <v>0</v>
      </c>
      <c r="I160" s="23" t="n">
        <f aca="false">SUMIFS('Loss time 24-10'!$Q$3:$Q$41,'Loss time 24-10'!$H$3:$H$41,$A160,'Loss time 24-10'!$G$3:$G$41,I$157)</f>
        <v>0</v>
      </c>
      <c r="J160" s="24" t="n">
        <f aca="false">SUM(C160:I160)</f>
        <v>0</v>
      </c>
    </row>
    <row r="161" customFormat="false" ht="15" hidden="false" customHeight="false" outlineLevel="0" collapsed="false">
      <c r="A161" s="22" t="s">
        <v>52</v>
      </c>
      <c r="B161" s="22" t="s">
        <v>53</v>
      </c>
      <c r="C161" s="23" t="n">
        <f aca="false">SUMIFS('Loss time 24-10'!$Q$3:$Q$41,'Loss time 24-10'!$H$3:$H$41,$A161,'Loss time 24-10'!$G$3:$G$41,C$157)</f>
        <v>0</v>
      </c>
      <c r="D161" s="23" t="n">
        <f aca="false">SUMIFS('Loss time 24-10'!$Q$3:$Q$41,'Loss time 24-10'!$H$3:$H$41,$A161,'Loss time 24-10'!$G$3:$G$41,D$157)</f>
        <v>0</v>
      </c>
      <c r="E161" s="23" t="n">
        <f aca="false">SUMIFS('Loss time 24-10'!$Q$3:$Q$41,'Loss time 24-10'!$H$3:$H$41,$A161,'Loss time 24-10'!$G$3:$G$41,E$157)</f>
        <v>31.5</v>
      </c>
      <c r="F161" s="23" t="n">
        <f aca="false">SUMIFS('Loss time 24-10'!$Q$3:$Q$41,'Loss time 24-10'!$H$3:$H$41,$A161,'Loss time 24-10'!$G$3:$G$41,F$157)</f>
        <v>90</v>
      </c>
      <c r="G161" s="23" t="n">
        <f aca="false">SUMIFS('Loss time 24-10'!$Q$3:$Q$41,'Loss time 24-10'!$H$3:$H$41,$A161,'Loss time 24-10'!$G$3:$G$41,G$157)</f>
        <v>0</v>
      </c>
      <c r="H161" s="23" t="n">
        <f aca="false">SUMIFS('Loss time 24-10'!$Q$3:$Q$41,'Loss time 24-10'!$H$3:$H$41,$A161,'Loss time 24-10'!$G$3:$G$41,H$157)</f>
        <v>45</v>
      </c>
      <c r="I161" s="23" t="n">
        <f aca="false">SUMIFS('Loss time 24-10'!$Q$3:$Q$41,'Loss time 24-10'!$H$3:$H$41,$A161,'Loss time 24-10'!$G$3:$G$41,I$157)</f>
        <v>0</v>
      </c>
      <c r="J161" s="24" t="n">
        <f aca="false">SUM(C161:I161)</f>
        <v>166.5</v>
      </c>
    </row>
    <row r="162" customFormat="false" ht="15" hidden="false" customHeight="false" outlineLevel="0" collapsed="false">
      <c r="A162" s="25" t="s">
        <v>75</v>
      </c>
      <c r="B162" s="25"/>
      <c r="C162" s="24" t="n">
        <f aca="false">SUM(C158:C161)</f>
        <v>11.5</v>
      </c>
      <c r="D162" s="24" t="n">
        <f aca="false">SUM(D158:D161)</f>
        <v>81</v>
      </c>
      <c r="E162" s="24" t="n">
        <f aca="false">SUM(E158:E161)</f>
        <v>89</v>
      </c>
      <c r="F162" s="24" t="n">
        <f aca="false">SUM(F158:F161)</f>
        <v>122</v>
      </c>
      <c r="G162" s="24" t="n">
        <f aca="false">SUM(G158:G161)</f>
        <v>0</v>
      </c>
      <c r="H162" s="24" t="n">
        <f aca="false">SUM(H158:H161)</f>
        <v>45</v>
      </c>
      <c r="I162" s="24" t="n">
        <f aca="false">SUM(I158:I161)</f>
        <v>0</v>
      </c>
      <c r="J162" s="24" t="n">
        <f aca="false">SUM(J158:J161)</f>
        <v>348.5</v>
      </c>
    </row>
    <row r="165" customFormat="false" ht="15" hidden="false" customHeight="false" outlineLevel="0" collapsed="false">
      <c r="A165" s="18" t="s">
        <v>324</v>
      </c>
    </row>
    <row r="166" customFormat="false" ht="25.35" hidden="false" customHeight="false" outlineLevel="0" collapsed="false">
      <c r="A166" s="2" t="s">
        <v>8</v>
      </c>
      <c r="B166" s="2" t="s">
        <v>305</v>
      </c>
      <c r="C166" s="2" t="s">
        <v>18</v>
      </c>
      <c r="D166" s="2" t="s">
        <v>23</v>
      </c>
      <c r="E166" s="2" t="s">
        <v>25</v>
      </c>
      <c r="F166" s="2" t="s">
        <v>28</v>
      </c>
      <c r="G166" s="2" t="s">
        <v>68</v>
      </c>
      <c r="H166" s="2" t="s">
        <v>72</v>
      </c>
      <c r="I166" s="2" t="s">
        <v>306</v>
      </c>
      <c r="J166" s="2" t="s">
        <v>75</v>
      </c>
    </row>
    <row r="167" customFormat="false" ht="15" hidden="false" customHeight="false" outlineLevel="0" collapsed="false">
      <c r="A167" s="22" t="s">
        <v>19</v>
      </c>
      <c r="B167" s="22" t="s">
        <v>20</v>
      </c>
      <c r="C167" s="23" t="n">
        <f aca="false">SUMIFS('Loss time 25-10'!$Q$3:$Q$14,'Loss time 25-10'!$H$3:$H$14,$A167,'Loss time 25-10'!$G$3:$G$14,C$166)</f>
        <v>0</v>
      </c>
      <c r="D167" s="23" t="n">
        <f aca="false">SUMIFS('Loss time 25-10'!$Q$3:$Q$14,'Loss time 25-10'!$H$3:$H$14,$A167,'Loss time 25-10'!$G$3:$G$14,D$166)</f>
        <v>0</v>
      </c>
      <c r="E167" s="23" t="n">
        <f aca="false">SUMIFS('Loss time 25-10'!$Q$3:$Q$14,'Loss time 25-10'!$H$3:$H$14,$A167,'Loss time 25-10'!$G$3:$G$14,E$166)</f>
        <v>0</v>
      </c>
      <c r="F167" s="23" t="n">
        <f aca="false">SUMIFS('Loss time 25-10'!$Q$3:$Q$14,'Loss time 25-10'!$H$3:$H$14,$A167,'Loss time 25-10'!$G$3:$G$14,F$166)</f>
        <v>16</v>
      </c>
      <c r="G167" s="23" t="n">
        <f aca="false">SUMIFS('Loss time 25-10'!$Q$3:$Q$14,'Loss time 25-10'!$H$3:$H$14,$A167,'Loss time 25-10'!$G$3:$G$14,G$166)</f>
        <v>0</v>
      </c>
      <c r="H167" s="23" t="n">
        <f aca="false">SUMIFS('Loss time 25-10'!$Q$3:$Q$14,'Loss time 25-10'!$H$3:$H$14,$A167,'Loss time 25-10'!$G$3:$G$14,H$166)</f>
        <v>0</v>
      </c>
      <c r="I167" s="23" t="n">
        <f aca="false">SUMIFS('Loss time 25-10'!$Q$3:$Q$14,'Loss time 25-10'!$H$3:$H$14,$A167,'Loss time 25-10'!$G$3:$G$14,I$166)</f>
        <v>0</v>
      </c>
      <c r="J167" s="24" t="n">
        <f aca="false">SUM(C167:I167)</f>
        <v>16</v>
      </c>
    </row>
    <row r="168" customFormat="false" ht="15" hidden="false" customHeight="false" outlineLevel="0" collapsed="false">
      <c r="A168" s="22" t="s">
        <v>30</v>
      </c>
      <c r="B168" s="22" t="s">
        <v>31</v>
      </c>
      <c r="C168" s="23" t="n">
        <f aca="false">SUMIFS('Loss time 25-10'!$Q$3:$Q$14,'Loss time 25-10'!$H$3:$H$14,$A168,'Loss time 25-10'!$G$3:$G$14,C$166)</f>
        <v>0</v>
      </c>
      <c r="D168" s="23" t="n">
        <f aca="false">SUMIFS('Loss time 25-10'!$Q$3:$Q$14,'Loss time 25-10'!$H$3:$H$14,$A168,'Loss time 25-10'!$G$3:$G$14,D$166)</f>
        <v>0</v>
      </c>
      <c r="E168" s="23" t="n">
        <f aca="false">SUMIFS('Loss time 25-10'!$Q$3:$Q$14,'Loss time 25-10'!$H$3:$H$14,$A168,'Loss time 25-10'!$G$3:$G$14,E$166)</f>
        <v>0</v>
      </c>
      <c r="F168" s="23" t="n">
        <f aca="false">SUMIFS('Loss time 25-10'!$Q$3:$Q$14,'Loss time 25-10'!$H$3:$H$14,$A168,'Loss time 25-10'!$G$3:$G$14,F$166)</f>
        <v>16</v>
      </c>
      <c r="G168" s="23" t="n">
        <f aca="false">SUMIFS('Loss time 25-10'!$Q$3:$Q$14,'Loss time 25-10'!$H$3:$H$14,$A168,'Loss time 25-10'!$G$3:$G$14,G$166)</f>
        <v>0</v>
      </c>
      <c r="H168" s="23" t="n">
        <f aca="false">SUMIFS('Loss time 25-10'!$Q$3:$Q$14,'Loss time 25-10'!$H$3:$H$14,$A168,'Loss time 25-10'!$G$3:$G$14,H$166)</f>
        <v>0</v>
      </c>
      <c r="I168" s="23" t="n">
        <f aca="false">SUMIFS('Loss time 25-10'!$Q$3:$Q$14,'Loss time 25-10'!$H$3:$H$14,$A168,'Loss time 25-10'!$G$3:$G$14,I$166)</f>
        <v>0</v>
      </c>
      <c r="J168" s="24" t="n">
        <f aca="false">SUM(C168:I168)</f>
        <v>16</v>
      </c>
    </row>
    <row r="169" customFormat="false" ht="15" hidden="false" customHeight="false" outlineLevel="0" collapsed="false">
      <c r="A169" s="22" t="s">
        <v>48</v>
      </c>
      <c r="B169" s="22" t="s">
        <v>49</v>
      </c>
      <c r="C169" s="23" t="n">
        <f aca="false">SUMIFS('Loss time 25-10'!$Q$3:$Q$14,'Loss time 25-10'!$H$3:$H$14,$A169,'Loss time 25-10'!$G$3:$G$14,C$166)</f>
        <v>0</v>
      </c>
      <c r="D169" s="23" t="n">
        <f aca="false">SUMIFS('Loss time 25-10'!$Q$3:$Q$14,'Loss time 25-10'!$H$3:$H$14,$A169,'Loss time 25-10'!$G$3:$G$14,D$166)</f>
        <v>0</v>
      </c>
      <c r="E169" s="23" t="n">
        <f aca="false">SUMIFS('Loss time 25-10'!$Q$3:$Q$14,'Loss time 25-10'!$H$3:$H$14,$A169,'Loss time 25-10'!$G$3:$G$14,E$166)</f>
        <v>0</v>
      </c>
      <c r="F169" s="23" t="n">
        <f aca="false">SUMIFS('Loss time 25-10'!$Q$3:$Q$14,'Loss time 25-10'!$H$3:$H$14,$A169,'Loss time 25-10'!$G$3:$G$14,F$166)</f>
        <v>0</v>
      </c>
      <c r="G169" s="23" t="n">
        <f aca="false">SUMIFS('Loss time 25-10'!$Q$3:$Q$14,'Loss time 25-10'!$H$3:$H$14,$A169,'Loss time 25-10'!$G$3:$G$14,G$166)</f>
        <v>0</v>
      </c>
      <c r="H169" s="23" t="n">
        <f aca="false">SUMIFS('Loss time 25-10'!$Q$3:$Q$14,'Loss time 25-10'!$H$3:$H$14,$A169,'Loss time 25-10'!$G$3:$G$14,H$166)</f>
        <v>0</v>
      </c>
      <c r="I169" s="23" t="n">
        <f aca="false">SUMIFS('Loss time 25-10'!$Q$3:$Q$14,'Loss time 25-10'!$H$3:$H$14,$A169,'Loss time 25-10'!$G$3:$G$14,I$166)</f>
        <v>0</v>
      </c>
      <c r="J169" s="24" t="n">
        <f aca="false">SUM(C169:I169)</f>
        <v>0</v>
      </c>
    </row>
    <row r="170" customFormat="false" ht="15" hidden="false" customHeight="false" outlineLevel="0" collapsed="false">
      <c r="A170" s="22" t="s">
        <v>52</v>
      </c>
      <c r="B170" s="22" t="s">
        <v>53</v>
      </c>
      <c r="C170" s="23" t="n">
        <f aca="false">SUMIFS('Loss time 25-10'!$Q$3:$Q$14,'Loss time 25-10'!$H$3:$H$14,$A170,'Loss time 25-10'!$G$3:$G$14,C$166)</f>
        <v>0</v>
      </c>
      <c r="D170" s="23" t="n">
        <f aca="false">SUMIFS('Loss time 25-10'!$Q$3:$Q$14,'Loss time 25-10'!$H$3:$H$14,$A170,'Loss time 25-10'!$G$3:$G$14,D$166)</f>
        <v>0</v>
      </c>
      <c r="E170" s="23" t="n">
        <f aca="false">SUMIFS('Loss time 25-10'!$Q$3:$Q$14,'Loss time 25-10'!$H$3:$H$14,$A170,'Loss time 25-10'!$G$3:$G$14,E$166)</f>
        <v>0</v>
      </c>
      <c r="F170" s="23" t="n">
        <f aca="false">SUMIFS('Loss time 25-10'!$Q$3:$Q$14,'Loss time 25-10'!$H$3:$H$14,$A170,'Loss time 25-10'!$G$3:$G$14,F$166)</f>
        <v>90</v>
      </c>
      <c r="G170" s="23" t="n">
        <f aca="false">SUMIFS('Loss time 25-10'!$Q$3:$Q$14,'Loss time 25-10'!$H$3:$H$14,$A170,'Loss time 25-10'!$G$3:$G$14,G$166)</f>
        <v>0</v>
      </c>
      <c r="H170" s="23" t="n">
        <f aca="false">SUMIFS('Loss time 25-10'!$Q$3:$Q$14,'Loss time 25-10'!$H$3:$H$14,$A170,'Loss time 25-10'!$G$3:$G$14,H$166)</f>
        <v>0</v>
      </c>
      <c r="I170" s="23" t="n">
        <f aca="false">SUMIFS('Loss time 25-10'!$Q$3:$Q$14,'Loss time 25-10'!$H$3:$H$14,$A170,'Loss time 25-10'!$G$3:$G$14,I$166)</f>
        <v>0</v>
      </c>
      <c r="J170" s="24" t="n">
        <f aca="false">SUM(C170:I170)</f>
        <v>90</v>
      </c>
    </row>
    <row r="171" customFormat="false" ht="15" hidden="false" customHeight="false" outlineLevel="0" collapsed="false">
      <c r="A171" s="25" t="s">
        <v>75</v>
      </c>
      <c r="B171" s="25"/>
      <c r="C171" s="24" t="n">
        <f aca="false">SUM(C167:C170)</f>
        <v>0</v>
      </c>
      <c r="D171" s="24" t="n">
        <f aca="false">SUM(D167:D170)</f>
        <v>0</v>
      </c>
      <c r="E171" s="24" t="n">
        <f aca="false">SUM(E167:E170)</f>
        <v>0</v>
      </c>
      <c r="F171" s="24" t="n">
        <f aca="false">SUM(F167:F170)</f>
        <v>122</v>
      </c>
      <c r="G171" s="24" t="n">
        <f aca="false">SUM(G167:G170)</f>
        <v>0</v>
      </c>
      <c r="H171" s="24" t="n">
        <f aca="false">SUM(H167:H170)</f>
        <v>0</v>
      </c>
      <c r="I171" s="24" t="n">
        <f aca="false">SUM(I167:I170)</f>
        <v>0</v>
      </c>
      <c r="J171" s="24" t="n">
        <f aca="false">SUM(J167:J170)</f>
        <v>122</v>
      </c>
    </row>
    <row r="174" customFormat="false" ht="15" hidden="false" customHeight="false" outlineLevel="0" collapsed="false">
      <c r="A174" s="18" t="s">
        <v>325</v>
      </c>
    </row>
    <row r="175" customFormat="false" ht="25.35" hidden="false" customHeight="false" outlineLevel="0" collapsed="false">
      <c r="A175" s="2" t="s">
        <v>8</v>
      </c>
      <c r="B175" s="2" t="s">
        <v>305</v>
      </c>
      <c r="C175" s="2" t="s">
        <v>18</v>
      </c>
      <c r="D175" s="2" t="s">
        <v>23</v>
      </c>
      <c r="E175" s="2" t="s">
        <v>25</v>
      </c>
      <c r="F175" s="2" t="s">
        <v>28</v>
      </c>
      <c r="G175" s="2" t="s">
        <v>68</v>
      </c>
      <c r="H175" s="2" t="s">
        <v>72</v>
      </c>
      <c r="I175" s="2" t="s">
        <v>306</v>
      </c>
      <c r="J175" s="2" t="s">
        <v>75</v>
      </c>
    </row>
    <row r="176" customFormat="false" ht="15" hidden="false" customHeight="false" outlineLevel="0" collapsed="false">
      <c r="A176" s="22" t="s">
        <v>19</v>
      </c>
      <c r="B176" s="22" t="s">
        <v>20</v>
      </c>
      <c r="C176" s="23" t="n">
        <f aca="false">SUMIFS('Loss time 26-10'!$Q$3:$Q$40,'Loss time 26-10'!$H$3:$H$40,$A176,'Loss time 26-10'!$G$3:$G$40,C$175)</f>
        <v>3.5</v>
      </c>
      <c r="D176" s="23" t="n">
        <f aca="false">SUMIFS('Loss time 26-10'!$Q$3:$Q$40,'Loss time 26-10'!$H$3:$H$40,$A176,'Loss time 26-10'!$G$3:$G$40,D$175)</f>
        <v>9</v>
      </c>
      <c r="E176" s="23" t="n">
        <f aca="false">SUMIFS('Loss time 26-10'!$Q$3:$Q$40,'Loss time 26-10'!$H$3:$H$40,$A176,'Loss time 26-10'!$G$3:$G$40,E$175)</f>
        <v>9.5</v>
      </c>
      <c r="F176" s="23" t="n">
        <f aca="false">SUMIFS('Loss time 26-10'!$Q$3:$Q$40,'Loss time 26-10'!$H$3:$H$40,$A176,'Loss time 26-10'!$G$3:$G$40,F$175)</f>
        <v>16</v>
      </c>
      <c r="G176" s="23" t="n">
        <f aca="false">SUMIFS('Loss time 26-10'!$Q$3:$Q$40,'Loss time 26-10'!$H$3:$H$40,$A176,'Loss time 26-10'!$G$3:$G$40,G$175)</f>
        <v>0</v>
      </c>
      <c r="H176" s="23" t="n">
        <f aca="false">SUMIFS('Loss time 26-10'!$Q$3:$Q$40,'Loss time 26-10'!$H$3:$H$40,$A176,'Loss time 26-10'!$G$3:$G$40,H$175)</f>
        <v>0</v>
      </c>
      <c r="I176" s="23" t="n">
        <f aca="false">SUMIFS('Loss time 26-10'!$Q$3:$Q$40,'Loss time 26-10'!$H$3:$H$40,$A176,'Loss time 26-10'!$G$3:$G$40,I$175)</f>
        <v>0</v>
      </c>
      <c r="J176" s="24" t="n">
        <f aca="false">SUM(C176:I176)</f>
        <v>38</v>
      </c>
    </row>
    <row r="177" customFormat="false" ht="15" hidden="false" customHeight="false" outlineLevel="0" collapsed="false">
      <c r="A177" s="22" t="s">
        <v>30</v>
      </c>
      <c r="B177" s="22" t="s">
        <v>31</v>
      </c>
      <c r="C177" s="23" t="n">
        <f aca="false">SUMIFS('Loss time 26-10'!$Q$3:$Q$40,'Loss time 26-10'!$H$3:$H$40,$A177,'Loss time 26-10'!$G$3:$G$40,C$175)</f>
        <v>8</v>
      </c>
      <c r="D177" s="23" t="n">
        <f aca="false">SUMIFS('Loss time 26-10'!$Q$3:$Q$40,'Loss time 26-10'!$H$3:$H$40,$A177,'Loss time 26-10'!$G$3:$G$40,D$175)</f>
        <v>72</v>
      </c>
      <c r="E177" s="23" t="n">
        <f aca="false">SUMIFS('Loss time 26-10'!$Q$3:$Q$40,'Loss time 26-10'!$H$3:$H$40,$A177,'Loss time 26-10'!$G$3:$G$40,E$175)</f>
        <v>48</v>
      </c>
      <c r="F177" s="23" t="n">
        <f aca="false">SUMIFS('Loss time 26-10'!$Q$3:$Q$40,'Loss time 26-10'!$H$3:$H$40,$A177,'Loss time 26-10'!$G$3:$G$40,F$175)</f>
        <v>16</v>
      </c>
      <c r="G177" s="23" t="n">
        <f aca="false">SUMIFS('Loss time 26-10'!$Q$3:$Q$40,'Loss time 26-10'!$H$3:$H$40,$A177,'Loss time 26-10'!$G$3:$G$40,G$175)</f>
        <v>0</v>
      </c>
      <c r="H177" s="23" t="n">
        <f aca="false">SUMIFS('Loss time 26-10'!$Q$3:$Q$40,'Loss time 26-10'!$H$3:$H$40,$A177,'Loss time 26-10'!$G$3:$G$40,H$175)</f>
        <v>0</v>
      </c>
      <c r="I177" s="23" t="n">
        <f aca="false">SUMIFS('Loss time 26-10'!$Q$3:$Q$40,'Loss time 26-10'!$H$3:$H$40,$A177,'Loss time 26-10'!$G$3:$G$40,I$175)</f>
        <v>0</v>
      </c>
      <c r="J177" s="24" t="n">
        <f aca="false">SUM(C177:I177)</f>
        <v>144</v>
      </c>
    </row>
    <row r="178" customFormat="false" ht="15" hidden="false" customHeight="false" outlineLevel="0" collapsed="false">
      <c r="A178" s="22" t="s">
        <v>48</v>
      </c>
      <c r="B178" s="22" t="s">
        <v>49</v>
      </c>
      <c r="C178" s="23" t="n">
        <f aca="false">SUMIFS('Loss time 26-10'!$Q$3:$Q$40,'Loss time 26-10'!$H$3:$H$40,$A178,'Loss time 26-10'!$G$3:$G$40,C$175)</f>
        <v>0</v>
      </c>
      <c r="D178" s="23" t="n">
        <f aca="false">SUMIFS('Loss time 26-10'!$Q$3:$Q$40,'Loss time 26-10'!$H$3:$H$40,$A178,'Loss time 26-10'!$G$3:$G$40,D$175)</f>
        <v>0</v>
      </c>
      <c r="E178" s="23" t="n">
        <f aca="false">SUMIFS('Loss time 26-10'!$Q$3:$Q$40,'Loss time 26-10'!$H$3:$H$40,$A178,'Loss time 26-10'!$G$3:$G$40,E$175)</f>
        <v>0</v>
      </c>
      <c r="F178" s="23" t="n">
        <f aca="false">SUMIFS('Loss time 26-10'!$Q$3:$Q$40,'Loss time 26-10'!$H$3:$H$40,$A178,'Loss time 26-10'!$G$3:$G$40,F$175)</f>
        <v>0</v>
      </c>
      <c r="G178" s="23" t="n">
        <f aca="false">SUMIFS('Loss time 26-10'!$Q$3:$Q$40,'Loss time 26-10'!$H$3:$H$40,$A178,'Loss time 26-10'!$G$3:$G$40,G$175)</f>
        <v>0</v>
      </c>
      <c r="H178" s="23" t="n">
        <f aca="false">SUMIFS('Loss time 26-10'!$Q$3:$Q$40,'Loss time 26-10'!$H$3:$H$40,$A178,'Loss time 26-10'!$G$3:$G$40,H$175)</f>
        <v>0</v>
      </c>
      <c r="I178" s="23" t="n">
        <f aca="false">SUMIFS('Loss time 26-10'!$Q$3:$Q$40,'Loss time 26-10'!$H$3:$H$40,$A178,'Loss time 26-10'!$G$3:$G$40,I$175)</f>
        <v>0</v>
      </c>
      <c r="J178" s="24" t="n">
        <f aca="false">SUM(C178:I178)</f>
        <v>0</v>
      </c>
    </row>
    <row r="179" customFormat="false" ht="15" hidden="false" customHeight="false" outlineLevel="0" collapsed="false">
      <c r="A179" s="22" t="s">
        <v>52</v>
      </c>
      <c r="B179" s="22" t="s">
        <v>53</v>
      </c>
      <c r="C179" s="23" t="n">
        <f aca="false">SUMIFS('Loss time 26-10'!$Q$3:$Q$40,'Loss time 26-10'!$H$3:$H$40,$A179,'Loss time 26-10'!$G$3:$G$40,C$175)</f>
        <v>0</v>
      </c>
      <c r="D179" s="23" t="n">
        <f aca="false">SUMIFS('Loss time 26-10'!$Q$3:$Q$40,'Loss time 26-10'!$H$3:$H$40,$A179,'Loss time 26-10'!$G$3:$G$40,D$175)</f>
        <v>0</v>
      </c>
      <c r="E179" s="23" t="n">
        <f aca="false">SUMIFS('Loss time 26-10'!$Q$3:$Q$40,'Loss time 26-10'!$H$3:$H$40,$A179,'Loss time 26-10'!$G$3:$G$40,E$175)</f>
        <v>31.5</v>
      </c>
      <c r="F179" s="23" t="n">
        <f aca="false">SUMIFS('Loss time 26-10'!$Q$3:$Q$40,'Loss time 26-10'!$H$3:$H$40,$A179,'Loss time 26-10'!$G$3:$G$40,F$175)</f>
        <v>81</v>
      </c>
      <c r="G179" s="23" t="n">
        <f aca="false">SUMIFS('Loss time 26-10'!$Q$3:$Q$40,'Loss time 26-10'!$H$3:$H$40,$A179,'Loss time 26-10'!$G$3:$G$40,G$175)</f>
        <v>0</v>
      </c>
      <c r="H179" s="23" t="n">
        <f aca="false">SUMIFS('Loss time 26-10'!$Q$3:$Q$40,'Loss time 26-10'!$H$3:$H$40,$A179,'Loss time 26-10'!$G$3:$G$40,H$175)</f>
        <v>45</v>
      </c>
      <c r="I179" s="23" t="n">
        <f aca="false">SUMIFS('Loss time 26-10'!$Q$3:$Q$40,'Loss time 26-10'!$H$3:$H$40,$A179,'Loss time 26-10'!$G$3:$G$40,I$175)</f>
        <v>0</v>
      </c>
      <c r="J179" s="24" t="n">
        <f aca="false">SUM(C179:I179)</f>
        <v>157.5</v>
      </c>
    </row>
    <row r="180" customFormat="false" ht="15" hidden="false" customHeight="false" outlineLevel="0" collapsed="false">
      <c r="A180" s="25" t="s">
        <v>75</v>
      </c>
      <c r="B180" s="25"/>
      <c r="C180" s="24" t="n">
        <f aca="false">SUM(C176:C179)</f>
        <v>11.5</v>
      </c>
      <c r="D180" s="24" t="n">
        <f aca="false">SUM(D176:D179)</f>
        <v>81</v>
      </c>
      <c r="E180" s="24" t="n">
        <f aca="false">SUM(E176:E179)</f>
        <v>89</v>
      </c>
      <c r="F180" s="24" t="n">
        <f aca="false">SUM(F176:F179)</f>
        <v>113</v>
      </c>
      <c r="G180" s="24" t="n">
        <f aca="false">SUM(G176:G179)</f>
        <v>0</v>
      </c>
      <c r="H180" s="24" t="n">
        <f aca="false">SUM(H176:H179)</f>
        <v>45</v>
      </c>
      <c r="I180" s="24" t="n">
        <f aca="false">SUM(I176:I179)</f>
        <v>0</v>
      </c>
      <c r="J180" s="24" t="n">
        <f aca="false">SUM(J176:J179)</f>
        <v>339.5</v>
      </c>
    </row>
    <row r="182" customFormat="false" ht="15" hidden="false" customHeight="false" outlineLevel="0" collapsed="false">
      <c r="A182" s="20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327</v>
      </c>
    </row>
    <row r="3" customFormat="false" ht="31.5" hidden="false" customHeight="true" outlineLevel="0" collapsed="false">
      <c r="A3" s="2" t="s">
        <v>328</v>
      </c>
      <c r="B3" s="2" t="s">
        <v>329</v>
      </c>
      <c r="C3" s="2" t="s">
        <v>16</v>
      </c>
      <c r="D3" s="2" t="s">
        <v>330</v>
      </c>
      <c r="E3" s="2" t="s">
        <v>331</v>
      </c>
      <c r="F3" s="2" t="s">
        <v>332</v>
      </c>
      <c r="G3" s="2" t="s">
        <v>333</v>
      </c>
      <c r="H3" s="2" t="s">
        <v>334</v>
      </c>
      <c r="I3" s="2" t="s">
        <v>335</v>
      </c>
      <c r="J3" s="2" t="s">
        <v>336</v>
      </c>
      <c r="K3" s="2" t="s">
        <v>337</v>
      </c>
      <c r="L3" s="2" t="s">
        <v>338</v>
      </c>
      <c r="M3" s="2" t="s">
        <v>339</v>
      </c>
      <c r="N3" s="2" t="s">
        <v>340</v>
      </c>
      <c r="O3" s="2" t="s">
        <v>341</v>
      </c>
      <c r="P3" s="2" t="s">
        <v>342</v>
      </c>
      <c r="Q3" s="2" t="s">
        <v>343</v>
      </c>
      <c r="R3" s="2" t="s">
        <v>344</v>
      </c>
      <c r="S3" s="2" t="s">
        <v>345</v>
      </c>
      <c r="T3" s="2" t="s">
        <v>346</v>
      </c>
      <c r="U3" s="2" t="s">
        <v>347</v>
      </c>
      <c r="V3" s="2" t="s">
        <v>348</v>
      </c>
      <c r="W3" s="2" t="s">
        <v>349</v>
      </c>
      <c r="X3" s="2" t="s">
        <v>350</v>
      </c>
    </row>
    <row r="4" customFormat="false" ht="15" hidden="false" customHeight="false" outlineLevel="0" collapsed="false">
      <c r="A4" s="8" t="s">
        <v>351</v>
      </c>
      <c r="B4" s="8" t="s">
        <v>72</v>
      </c>
      <c r="C4" s="8" t="n">
        <v>1</v>
      </c>
      <c r="D4" s="8" t="s">
        <v>352</v>
      </c>
      <c r="E4" s="8" t="s">
        <v>352</v>
      </c>
      <c r="F4" s="8" t="s">
        <v>352</v>
      </c>
      <c r="G4" s="8" t="s">
        <v>352</v>
      </c>
      <c r="H4" s="8" t="s">
        <v>352</v>
      </c>
      <c r="I4" s="8" t="s">
        <v>352</v>
      </c>
      <c r="J4" s="8" t="s">
        <v>352</v>
      </c>
      <c r="K4" s="8" t="s">
        <v>352</v>
      </c>
      <c r="L4" s="8" t="s">
        <v>352</v>
      </c>
      <c r="M4" s="8" t="s">
        <v>352</v>
      </c>
      <c r="N4" s="8" t="s">
        <v>352</v>
      </c>
      <c r="O4" s="8" t="s">
        <v>352</v>
      </c>
      <c r="P4" s="8" t="s">
        <v>352</v>
      </c>
      <c r="Q4" s="8" t="s">
        <v>352</v>
      </c>
      <c r="R4" s="8" t="s">
        <v>352</v>
      </c>
      <c r="S4" s="8" t="s">
        <v>352</v>
      </c>
      <c r="T4" s="8" t="s">
        <v>48</v>
      </c>
      <c r="U4" s="8" t="s">
        <v>353</v>
      </c>
      <c r="V4" s="8" t="s">
        <v>352</v>
      </c>
      <c r="W4" s="8" t="s">
        <v>354</v>
      </c>
      <c r="X4" s="26" t="n">
        <f aca="false">WORKDAY.INTL(DATE(2026,10,23),12,11)</f>
        <v>46332</v>
      </c>
    </row>
    <row r="5" customFormat="false" ht="15" hidden="false" customHeight="false" outlineLevel="0" collapsed="false">
      <c r="A5" s="8" t="s">
        <v>355</v>
      </c>
      <c r="B5" s="8" t="s">
        <v>72</v>
      </c>
      <c r="C5" s="8" t="n">
        <v>3</v>
      </c>
      <c r="D5" s="8" t="s">
        <v>352</v>
      </c>
      <c r="E5" s="8" t="s">
        <v>352</v>
      </c>
      <c r="F5" s="8" t="s">
        <v>352</v>
      </c>
      <c r="G5" s="8" t="s">
        <v>352</v>
      </c>
      <c r="H5" s="8" t="s">
        <v>352</v>
      </c>
      <c r="I5" s="8" t="s">
        <v>352</v>
      </c>
      <c r="J5" s="8" t="s">
        <v>352</v>
      </c>
      <c r="K5" s="8" t="s">
        <v>352</v>
      </c>
      <c r="L5" s="8" t="s">
        <v>352</v>
      </c>
      <c r="M5" s="8" t="s">
        <v>352</v>
      </c>
      <c r="N5" s="8" t="s">
        <v>352</v>
      </c>
      <c r="O5" s="8" t="s">
        <v>352</v>
      </c>
      <c r="P5" s="8" t="s">
        <v>352</v>
      </c>
      <c r="Q5" s="8" t="s">
        <v>352</v>
      </c>
      <c r="R5" s="8" t="s">
        <v>352</v>
      </c>
      <c r="S5" s="8" t="s">
        <v>48</v>
      </c>
      <c r="T5" s="8" t="s">
        <v>353</v>
      </c>
      <c r="U5" s="8" t="s">
        <v>354</v>
      </c>
      <c r="V5" s="8" t="s">
        <v>352</v>
      </c>
      <c r="W5" s="8" t="s">
        <v>356</v>
      </c>
      <c r="X5" s="26" t="n">
        <f aca="false">WORKDAY.INTL(DATE(2026,10,22),12,11)</f>
        <v>46331</v>
      </c>
    </row>
    <row r="6" customFormat="false" ht="15" hidden="false" customHeight="false" outlineLevel="0" collapsed="false">
      <c r="A6" s="8" t="s">
        <v>355</v>
      </c>
      <c r="B6" s="8" t="s">
        <v>25</v>
      </c>
      <c r="C6" s="8" t="n">
        <v>1</v>
      </c>
      <c r="D6" s="8" t="s">
        <v>352</v>
      </c>
      <c r="E6" s="8" t="s">
        <v>352</v>
      </c>
      <c r="F6" s="8" t="s">
        <v>352</v>
      </c>
      <c r="G6" s="8" t="s">
        <v>352</v>
      </c>
      <c r="H6" s="8" t="s">
        <v>352</v>
      </c>
      <c r="I6" s="8" t="s">
        <v>352</v>
      </c>
      <c r="J6" s="8" t="s">
        <v>352</v>
      </c>
      <c r="K6" s="8" t="s">
        <v>352</v>
      </c>
      <c r="L6" s="8" t="s">
        <v>352</v>
      </c>
      <c r="M6" s="8" t="s">
        <v>352</v>
      </c>
      <c r="N6" s="8" t="s">
        <v>352</v>
      </c>
      <c r="O6" s="8" t="s">
        <v>352</v>
      </c>
      <c r="P6" s="8" t="s">
        <v>352</v>
      </c>
      <c r="Q6" s="8" t="s">
        <v>352</v>
      </c>
      <c r="R6" s="8" t="s">
        <v>352</v>
      </c>
      <c r="S6" s="8" t="s">
        <v>48</v>
      </c>
      <c r="T6" s="8" t="s">
        <v>353</v>
      </c>
      <c r="U6" s="8" t="s">
        <v>354</v>
      </c>
      <c r="V6" s="8" t="s">
        <v>352</v>
      </c>
      <c r="W6" s="8" t="s">
        <v>356</v>
      </c>
      <c r="X6" s="26" t="n">
        <f aca="false">WORKDAY.INTL(DATE(2026,10,22),12,11)</f>
        <v>46331</v>
      </c>
    </row>
    <row r="7" customFormat="false" ht="15" hidden="false" customHeight="false" outlineLevel="0" collapsed="false">
      <c r="A7" s="8" t="s">
        <v>355</v>
      </c>
      <c r="B7" s="8" t="s">
        <v>28</v>
      </c>
      <c r="C7" s="8" t="n">
        <v>2</v>
      </c>
      <c r="D7" s="8" t="s">
        <v>352</v>
      </c>
      <c r="E7" s="8" t="s">
        <v>352</v>
      </c>
      <c r="F7" s="8" t="s">
        <v>352</v>
      </c>
      <c r="G7" s="8" t="s">
        <v>352</v>
      </c>
      <c r="H7" s="8" t="s">
        <v>352</v>
      </c>
      <c r="I7" s="8" t="s">
        <v>352</v>
      </c>
      <c r="J7" s="8" t="s">
        <v>352</v>
      </c>
      <c r="K7" s="8" t="s">
        <v>352</v>
      </c>
      <c r="L7" s="8" t="s">
        <v>352</v>
      </c>
      <c r="M7" s="8" t="s">
        <v>352</v>
      </c>
      <c r="N7" s="8" t="s">
        <v>352</v>
      </c>
      <c r="O7" s="8" t="s">
        <v>352</v>
      </c>
      <c r="P7" s="8" t="s">
        <v>352</v>
      </c>
      <c r="Q7" s="8" t="s">
        <v>352</v>
      </c>
      <c r="R7" s="8" t="s">
        <v>352</v>
      </c>
      <c r="S7" s="8" t="s">
        <v>48</v>
      </c>
      <c r="T7" s="8" t="s">
        <v>353</v>
      </c>
      <c r="U7" s="8" t="s">
        <v>354</v>
      </c>
      <c r="V7" s="8" t="s">
        <v>356</v>
      </c>
      <c r="W7" s="8" t="s">
        <v>357</v>
      </c>
      <c r="X7" s="26" t="n">
        <f aca="false">WORKDAY.INTL(DATE(2026,10,22),11,11)</f>
        <v>46330</v>
      </c>
    </row>
    <row r="8" customFormat="false" ht="15" hidden="false" customHeight="false" outlineLevel="0" collapsed="false">
      <c r="A8" s="8" t="s">
        <v>358</v>
      </c>
      <c r="B8" s="8" t="s">
        <v>72</v>
      </c>
      <c r="C8" s="8" t="n">
        <v>1</v>
      </c>
      <c r="D8" s="8" t="s">
        <v>352</v>
      </c>
      <c r="E8" s="8" t="s">
        <v>352</v>
      </c>
      <c r="F8" s="8" t="s">
        <v>352</v>
      </c>
      <c r="G8" s="8" t="s">
        <v>352</v>
      </c>
      <c r="H8" s="8" t="s">
        <v>352</v>
      </c>
      <c r="I8" s="8" t="s">
        <v>352</v>
      </c>
      <c r="J8" s="8" t="s">
        <v>352</v>
      </c>
      <c r="K8" s="8" t="s">
        <v>352</v>
      </c>
      <c r="L8" s="8" t="s">
        <v>352</v>
      </c>
      <c r="M8" s="8" t="s">
        <v>352</v>
      </c>
      <c r="N8" s="8" t="s">
        <v>352</v>
      </c>
      <c r="O8" s="8" t="s">
        <v>352</v>
      </c>
      <c r="P8" s="8" t="s">
        <v>352</v>
      </c>
      <c r="Q8" s="8" t="s">
        <v>352</v>
      </c>
      <c r="R8" s="8" t="s">
        <v>48</v>
      </c>
      <c r="S8" s="8" t="s">
        <v>353</v>
      </c>
      <c r="T8" s="8" t="s">
        <v>354</v>
      </c>
      <c r="U8" s="8" t="s">
        <v>356</v>
      </c>
      <c r="V8" s="8" t="s">
        <v>352</v>
      </c>
      <c r="W8" s="8" t="s">
        <v>357</v>
      </c>
      <c r="X8" s="26" t="n">
        <f aca="false">WORKDAY.INTL(DATE(2026,10,21),12,11)</f>
        <v>46330</v>
      </c>
    </row>
    <row r="9" customFormat="false" ht="15" hidden="false" customHeight="false" outlineLevel="0" collapsed="false">
      <c r="A9" s="8" t="s">
        <v>358</v>
      </c>
      <c r="B9" s="8" t="s">
        <v>25</v>
      </c>
      <c r="C9" s="8" t="n">
        <v>2</v>
      </c>
      <c r="D9" s="8" t="s">
        <v>352</v>
      </c>
      <c r="E9" s="8" t="s">
        <v>352</v>
      </c>
      <c r="F9" s="8" t="s">
        <v>352</v>
      </c>
      <c r="G9" s="8" t="s">
        <v>352</v>
      </c>
      <c r="H9" s="8" t="s">
        <v>352</v>
      </c>
      <c r="I9" s="8" t="s">
        <v>352</v>
      </c>
      <c r="J9" s="8" t="s">
        <v>352</v>
      </c>
      <c r="K9" s="8" t="s">
        <v>352</v>
      </c>
      <c r="L9" s="8" t="s">
        <v>352</v>
      </c>
      <c r="M9" s="8" t="s">
        <v>352</v>
      </c>
      <c r="N9" s="8" t="s">
        <v>352</v>
      </c>
      <c r="O9" s="8" t="s">
        <v>352</v>
      </c>
      <c r="P9" s="8" t="s">
        <v>352</v>
      </c>
      <c r="Q9" s="8" t="s">
        <v>352</v>
      </c>
      <c r="R9" s="8" t="s">
        <v>48</v>
      </c>
      <c r="S9" s="8" t="s">
        <v>353</v>
      </c>
      <c r="T9" s="8" t="s">
        <v>354</v>
      </c>
      <c r="U9" s="8" t="s">
        <v>356</v>
      </c>
      <c r="V9" s="8" t="s">
        <v>352</v>
      </c>
      <c r="W9" s="8" t="s">
        <v>357</v>
      </c>
      <c r="X9" s="26" t="n">
        <f aca="false">WORKDAY.INTL(DATE(2026,10,21),12,11)</f>
        <v>46330</v>
      </c>
    </row>
    <row r="10" customFormat="false" ht="15" hidden="false" customHeight="false" outlineLevel="0" collapsed="false">
      <c r="A10" s="8" t="s">
        <v>358</v>
      </c>
      <c r="B10" s="8" t="s">
        <v>28</v>
      </c>
      <c r="C10" s="8" t="n">
        <v>2</v>
      </c>
      <c r="D10" s="8" t="s">
        <v>352</v>
      </c>
      <c r="E10" s="8" t="s">
        <v>352</v>
      </c>
      <c r="F10" s="8" t="s">
        <v>352</v>
      </c>
      <c r="G10" s="8" t="s">
        <v>352</v>
      </c>
      <c r="H10" s="8" t="s">
        <v>352</v>
      </c>
      <c r="I10" s="8" t="s">
        <v>352</v>
      </c>
      <c r="J10" s="8" t="s">
        <v>352</v>
      </c>
      <c r="K10" s="8" t="s">
        <v>352</v>
      </c>
      <c r="L10" s="8" t="s">
        <v>352</v>
      </c>
      <c r="M10" s="8" t="s">
        <v>352</v>
      </c>
      <c r="N10" s="8" t="s">
        <v>352</v>
      </c>
      <c r="O10" s="8" t="s">
        <v>352</v>
      </c>
      <c r="P10" s="8" t="s">
        <v>352</v>
      </c>
      <c r="Q10" s="8" t="s">
        <v>352</v>
      </c>
      <c r="R10" s="8" t="s">
        <v>48</v>
      </c>
      <c r="S10" s="8" t="s">
        <v>353</v>
      </c>
      <c r="T10" s="8" t="s">
        <v>354</v>
      </c>
      <c r="U10" s="8" t="s">
        <v>356</v>
      </c>
      <c r="V10" s="8" t="s">
        <v>357</v>
      </c>
      <c r="W10" s="8" t="s">
        <v>359</v>
      </c>
      <c r="X10" s="26" t="n">
        <f aca="false">WORKDAY.INTL(DATE(2026,10,21),11,11)</f>
        <v>46329</v>
      </c>
    </row>
    <row r="11" customFormat="false" ht="15" hidden="false" customHeight="false" outlineLevel="0" collapsed="false">
      <c r="A11" s="8" t="s">
        <v>360</v>
      </c>
      <c r="B11" s="8" t="s">
        <v>28</v>
      </c>
      <c r="C11" s="8" t="n">
        <v>4</v>
      </c>
      <c r="D11" s="8" t="s">
        <v>352</v>
      </c>
      <c r="E11" s="8" t="s">
        <v>352</v>
      </c>
      <c r="F11" s="8" t="s">
        <v>352</v>
      </c>
      <c r="G11" s="8" t="s">
        <v>352</v>
      </c>
      <c r="H11" s="8" t="s">
        <v>352</v>
      </c>
      <c r="I11" s="8" t="s">
        <v>352</v>
      </c>
      <c r="J11" s="8" t="s">
        <v>352</v>
      </c>
      <c r="K11" s="8" t="s">
        <v>352</v>
      </c>
      <c r="L11" s="8" t="s">
        <v>352</v>
      </c>
      <c r="M11" s="8" t="s">
        <v>352</v>
      </c>
      <c r="N11" s="8" t="s">
        <v>352</v>
      </c>
      <c r="O11" s="8" t="s">
        <v>352</v>
      </c>
      <c r="P11" s="8" t="s">
        <v>352</v>
      </c>
      <c r="Q11" s="8" t="s">
        <v>48</v>
      </c>
      <c r="R11" s="8" t="s">
        <v>353</v>
      </c>
      <c r="S11" s="8" t="s">
        <v>354</v>
      </c>
      <c r="T11" s="8" t="s">
        <v>356</v>
      </c>
      <c r="U11" s="8" t="s">
        <v>357</v>
      </c>
      <c r="V11" s="8" t="s">
        <v>359</v>
      </c>
      <c r="W11" s="8" t="s">
        <v>361</v>
      </c>
      <c r="X11" s="26" t="n">
        <f aca="false">WORKDAY.INTL(DATE(2026,10,20),11,11)</f>
        <v>46328</v>
      </c>
    </row>
    <row r="12" customFormat="false" ht="15" hidden="false" customHeight="false" outlineLevel="0" collapsed="false">
      <c r="A12" s="8" t="s">
        <v>360</v>
      </c>
      <c r="B12" s="8" t="s">
        <v>25</v>
      </c>
      <c r="C12" s="8" t="n">
        <v>2</v>
      </c>
      <c r="D12" s="8" t="s">
        <v>352</v>
      </c>
      <c r="E12" s="8" t="s">
        <v>352</v>
      </c>
      <c r="F12" s="8" t="s">
        <v>352</v>
      </c>
      <c r="G12" s="8" t="s">
        <v>352</v>
      </c>
      <c r="H12" s="8" t="s">
        <v>352</v>
      </c>
      <c r="I12" s="8" t="s">
        <v>352</v>
      </c>
      <c r="J12" s="8" t="s">
        <v>352</v>
      </c>
      <c r="K12" s="8" t="s">
        <v>352</v>
      </c>
      <c r="L12" s="8" t="s">
        <v>352</v>
      </c>
      <c r="M12" s="8" t="s">
        <v>352</v>
      </c>
      <c r="N12" s="8" t="s">
        <v>352</v>
      </c>
      <c r="O12" s="8" t="s">
        <v>352</v>
      </c>
      <c r="P12" s="8" t="s">
        <v>352</v>
      </c>
      <c r="Q12" s="8" t="s">
        <v>48</v>
      </c>
      <c r="R12" s="8" t="s">
        <v>353</v>
      </c>
      <c r="S12" s="8" t="s">
        <v>354</v>
      </c>
      <c r="T12" s="8" t="s">
        <v>356</v>
      </c>
      <c r="U12" s="8" t="s">
        <v>357</v>
      </c>
      <c r="V12" s="8" t="s">
        <v>352</v>
      </c>
      <c r="W12" s="8" t="s">
        <v>359</v>
      </c>
      <c r="X12" s="26" t="n">
        <f aca="false">WORKDAY.INTL(DATE(2026,10,20),12,11)</f>
        <v>46329</v>
      </c>
    </row>
    <row r="13" customFormat="false" ht="15" hidden="false" customHeight="false" outlineLevel="0" collapsed="false">
      <c r="A13" s="8" t="s">
        <v>362</v>
      </c>
      <c r="B13" s="8" t="s">
        <v>28</v>
      </c>
      <c r="C13" s="8" t="n">
        <v>2</v>
      </c>
      <c r="D13" s="8" t="s">
        <v>352</v>
      </c>
      <c r="E13" s="8" t="s">
        <v>352</v>
      </c>
      <c r="F13" s="8" t="s">
        <v>352</v>
      </c>
      <c r="G13" s="8" t="s">
        <v>352</v>
      </c>
      <c r="H13" s="8" t="s">
        <v>352</v>
      </c>
      <c r="I13" s="8" t="s">
        <v>352</v>
      </c>
      <c r="J13" s="8" t="s">
        <v>352</v>
      </c>
      <c r="K13" s="8" t="s">
        <v>352</v>
      </c>
      <c r="L13" s="8" t="s">
        <v>352</v>
      </c>
      <c r="M13" s="8" t="s">
        <v>352</v>
      </c>
      <c r="N13" s="8" t="s">
        <v>352</v>
      </c>
      <c r="O13" s="8" t="s">
        <v>352</v>
      </c>
      <c r="P13" s="8" t="s">
        <v>48</v>
      </c>
      <c r="Q13" s="8" t="s">
        <v>353</v>
      </c>
      <c r="R13" s="8" t="s">
        <v>354</v>
      </c>
      <c r="S13" s="8" t="s">
        <v>356</v>
      </c>
      <c r="T13" s="8" t="s">
        <v>357</v>
      </c>
      <c r="U13" s="8" t="s">
        <v>359</v>
      </c>
      <c r="V13" s="8" t="s">
        <v>361</v>
      </c>
      <c r="W13" s="8" t="s">
        <v>363</v>
      </c>
      <c r="X13" s="26" t="n">
        <f aca="false">WORKDAY.INTL(DATE(2026,10,19),11,11)</f>
        <v>46326</v>
      </c>
    </row>
    <row r="14" customFormat="false" ht="15" hidden="false" customHeight="false" outlineLevel="0" collapsed="false">
      <c r="A14" s="8" t="s">
        <v>362</v>
      </c>
      <c r="B14" s="8" t="s">
        <v>25</v>
      </c>
      <c r="C14" s="8" t="n">
        <v>1</v>
      </c>
      <c r="D14" s="8" t="s">
        <v>352</v>
      </c>
      <c r="E14" s="8" t="s">
        <v>352</v>
      </c>
      <c r="F14" s="8" t="s">
        <v>352</v>
      </c>
      <c r="G14" s="8" t="s">
        <v>352</v>
      </c>
      <c r="H14" s="8" t="s">
        <v>352</v>
      </c>
      <c r="I14" s="8" t="s">
        <v>352</v>
      </c>
      <c r="J14" s="8" t="s">
        <v>352</v>
      </c>
      <c r="K14" s="8" t="s">
        <v>352</v>
      </c>
      <c r="L14" s="8" t="s">
        <v>352</v>
      </c>
      <c r="M14" s="8" t="s">
        <v>352</v>
      </c>
      <c r="N14" s="8" t="s">
        <v>352</v>
      </c>
      <c r="O14" s="8" t="s">
        <v>352</v>
      </c>
      <c r="P14" s="8" t="s">
        <v>48</v>
      </c>
      <c r="Q14" s="8" t="s">
        <v>353</v>
      </c>
      <c r="R14" s="8" t="s">
        <v>354</v>
      </c>
      <c r="S14" s="8" t="s">
        <v>356</v>
      </c>
      <c r="T14" s="8" t="s">
        <v>357</v>
      </c>
      <c r="U14" s="8" t="s">
        <v>359</v>
      </c>
      <c r="V14" s="8" t="s">
        <v>352</v>
      </c>
      <c r="W14" s="8" t="s">
        <v>361</v>
      </c>
      <c r="X14" s="26" t="n">
        <f aca="false">WORKDAY.INTL(DATE(2026,10,19),12,11)</f>
        <v>46328</v>
      </c>
    </row>
    <row r="15" customFormat="false" ht="15" hidden="false" customHeight="false" outlineLevel="0" collapsed="false">
      <c r="A15" s="8" t="s">
        <v>364</v>
      </c>
      <c r="B15" s="8" t="s">
        <v>28</v>
      </c>
      <c r="C15" s="8" t="n">
        <v>1</v>
      </c>
      <c r="D15" s="8" t="s">
        <v>352</v>
      </c>
      <c r="E15" s="8" t="s">
        <v>352</v>
      </c>
      <c r="F15" s="8" t="s">
        <v>352</v>
      </c>
      <c r="G15" s="8" t="s">
        <v>352</v>
      </c>
      <c r="H15" s="8" t="s">
        <v>352</v>
      </c>
      <c r="I15" s="8" t="s">
        <v>352</v>
      </c>
      <c r="J15" s="8" t="s">
        <v>352</v>
      </c>
      <c r="K15" s="8" t="s">
        <v>352</v>
      </c>
      <c r="L15" s="8" t="s">
        <v>352</v>
      </c>
      <c r="M15" s="8" t="s">
        <v>352</v>
      </c>
      <c r="N15" s="8" t="s">
        <v>48</v>
      </c>
      <c r="O15" s="8" t="s">
        <v>353</v>
      </c>
      <c r="P15" s="8" t="s">
        <v>354</v>
      </c>
      <c r="Q15" s="8" t="s">
        <v>356</v>
      </c>
      <c r="R15" s="8" t="s">
        <v>357</v>
      </c>
      <c r="S15" s="8" t="s">
        <v>359</v>
      </c>
      <c r="T15" s="8" t="s">
        <v>361</v>
      </c>
      <c r="U15" s="8" t="s">
        <v>363</v>
      </c>
      <c r="V15" s="8" t="s">
        <v>365</v>
      </c>
      <c r="W15" s="8" t="s">
        <v>366</v>
      </c>
      <c r="X15" s="26" t="n">
        <f aca="false">WORKDAY.INTL(DATE(2026,10,16),11,11)</f>
        <v>46324</v>
      </c>
    </row>
    <row r="16" customFormat="false" ht="15" hidden="false" customHeight="false" outlineLevel="0" collapsed="false">
      <c r="A16" s="8" t="s">
        <v>367</v>
      </c>
      <c r="B16" s="8" t="s">
        <v>28</v>
      </c>
      <c r="C16" s="8" t="n">
        <v>4</v>
      </c>
      <c r="D16" s="8" t="s">
        <v>352</v>
      </c>
      <c r="E16" s="8" t="s">
        <v>352</v>
      </c>
      <c r="F16" s="8" t="s">
        <v>352</v>
      </c>
      <c r="G16" s="8" t="s">
        <v>352</v>
      </c>
      <c r="H16" s="8" t="s">
        <v>352</v>
      </c>
      <c r="I16" s="8" t="s">
        <v>352</v>
      </c>
      <c r="J16" s="8" t="s">
        <v>352</v>
      </c>
      <c r="K16" s="8" t="s">
        <v>352</v>
      </c>
      <c r="L16" s="8" t="s">
        <v>352</v>
      </c>
      <c r="M16" s="8" t="s">
        <v>48</v>
      </c>
      <c r="N16" s="8" t="s">
        <v>353</v>
      </c>
      <c r="O16" s="8" t="s">
        <v>354</v>
      </c>
      <c r="P16" s="8" t="s">
        <v>356</v>
      </c>
      <c r="Q16" s="8" t="s">
        <v>357</v>
      </c>
      <c r="R16" s="8" t="s">
        <v>359</v>
      </c>
      <c r="S16" s="8" t="s">
        <v>361</v>
      </c>
      <c r="T16" s="8" t="s">
        <v>363</v>
      </c>
      <c r="U16" s="8" t="s">
        <v>365</v>
      </c>
      <c r="V16" s="8" t="s">
        <v>366</v>
      </c>
      <c r="W16" s="8" t="s">
        <v>368</v>
      </c>
      <c r="X16" s="26" t="n">
        <f aca="false">WORKDAY.INTL(DATE(2026,10,15),11,11)</f>
        <v>46323</v>
      </c>
    </row>
    <row r="17" customFormat="false" ht="15" hidden="false" customHeight="false" outlineLevel="0" collapsed="false">
      <c r="A17" s="8" t="s">
        <v>369</v>
      </c>
      <c r="B17" s="8" t="s">
        <v>28</v>
      </c>
      <c r="C17" s="8" t="n">
        <v>1</v>
      </c>
      <c r="D17" s="8" t="s">
        <v>352</v>
      </c>
      <c r="E17" s="8" t="s">
        <v>352</v>
      </c>
      <c r="F17" s="8" t="s">
        <v>352</v>
      </c>
      <c r="G17" s="8" t="s">
        <v>352</v>
      </c>
      <c r="H17" s="8" t="s">
        <v>352</v>
      </c>
      <c r="I17" s="8" t="s">
        <v>352</v>
      </c>
      <c r="J17" s="8" t="s">
        <v>352</v>
      </c>
      <c r="K17" s="8" t="s">
        <v>352</v>
      </c>
      <c r="L17" s="8" t="s">
        <v>48</v>
      </c>
      <c r="M17" s="8" t="s">
        <v>353</v>
      </c>
      <c r="N17" s="8" t="s">
        <v>354</v>
      </c>
      <c r="O17" s="8" t="s">
        <v>356</v>
      </c>
      <c r="P17" s="8" t="s">
        <v>357</v>
      </c>
      <c r="Q17" s="8" t="s">
        <v>359</v>
      </c>
      <c r="R17" s="8" t="s">
        <v>361</v>
      </c>
      <c r="S17" s="8" t="s">
        <v>363</v>
      </c>
      <c r="T17" s="8" t="s">
        <v>365</v>
      </c>
      <c r="U17" s="8" t="s">
        <v>366</v>
      </c>
      <c r="V17" s="8" t="s">
        <v>368</v>
      </c>
      <c r="W17" s="8" t="s">
        <v>370</v>
      </c>
      <c r="X17" s="26" t="n">
        <f aca="false">WORKDAY.INTL(DATE(2026,10,14),11,11)</f>
        <v>46322</v>
      </c>
    </row>
    <row r="18" customFormat="false" ht="15" hidden="false" customHeight="false" outlineLevel="0" collapsed="false">
      <c r="A18" s="8" t="s">
        <v>371</v>
      </c>
      <c r="B18" s="8" t="s">
        <v>28</v>
      </c>
      <c r="C18" s="8" t="n">
        <v>2</v>
      </c>
      <c r="D18" s="8" t="s">
        <v>352</v>
      </c>
      <c r="E18" s="8" t="s">
        <v>352</v>
      </c>
      <c r="F18" s="8" t="s">
        <v>352</v>
      </c>
      <c r="G18" s="8" t="s">
        <v>352</v>
      </c>
      <c r="H18" s="8" t="s">
        <v>352</v>
      </c>
      <c r="I18" s="8" t="s">
        <v>352</v>
      </c>
      <c r="J18" s="8" t="s">
        <v>352</v>
      </c>
      <c r="K18" s="8" t="s">
        <v>48</v>
      </c>
      <c r="L18" s="8" t="s">
        <v>353</v>
      </c>
      <c r="M18" s="8" t="s">
        <v>354</v>
      </c>
      <c r="N18" s="8" t="s">
        <v>356</v>
      </c>
      <c r="O18" s="8" t="s">
        <v>357</v>
      </c>
      <c r="P18" s="8" t="s">
        <v>359</v>
      </c>
      <c r="Q18" s="8" t="s">
        <v>361</v>
      </c>
      <c r="R18" s="8" t="s">
        <v>363</v>
      </c>
      <c r="S18" s="8" t="s">
        <v>365</v>
      </c>
      <c r="T18" s="8" t="s">
        <v>366</v>
      </c>
      <c r="U18" s="8" t="s">
        <v>368</v>
      </c>
      <c r="V18" s="8" t="s">
        <v>370</v>
      </c>
      <c r="W18" s="8" t="s">
        <v>372</v>
      </c>
      <c r="X18" s="26" t="n">
        <f aca="false">WORKDAY.INTL(DATE(2026,10,13),11,11)</f>
        <v>46321</v>
      </c>
    </row>
    <row r="19" customFormat="false" ht="15" hidden="false" customHeight="false" outlineLevel="0" collapsed="false">
      <c r="A19" s="8" t="s">
        <v>371</v>
      </c>
      <c r="B19" s="8" t="s">
        <v>72</v>
      </c>
      <c r="C19" s="8" t="n">
        <v>4</v>
      </c>
      <c r="D19" s="8" t="s">
        <v>352</v>
      </c>
      <c r="E19" s="8" t="s">
        <v>352</v>
      </c>
      <c r="F19" s="8" t="s">
        <v>352</v>
      </c>
      <c r="G19" s="8" t="s">
        <v>352</v>
      </c>
      <c r="H19" s="8" t="s">
        <v>352</v>
      </c>
      <c r="I19" s="8" t="s">
        <v>352</v>
      </c>
      <c r="J19" s="8" t="s">
        <v>352</v>
      </c>
      <c r="K19" s="8" t="s">
        <v>48</v>
      </c>
      <c r="L19" s="8" t="s">
        <v>353</v>
      </c>
      <c r="M19" s="8" t="s">
        <v>354</v>
      </c>
      <c r="N19" s="8" t="s">
        <v>356</v>
      </c>
      <c r="O19" s="8" t="s">
        <v>357</v>
      </c>
      <c r="P19" s="8" t="s">
        <v>359</v>
      </c>
      <c r="Q19" s="8" t="s">
        <v>361</v>
      </c>
      <c r="R19" s="8" t="s">
        <v>363</v>
      </c>
      <c r="S19" s="8" t="s">
        <v>365</v>
      </c>
      <c r="T19" s="8" t="s">
        <v>366</v>
      </c>
      <c r="U19" s="8" t="s">
        <v>368</v>
      </c>
      <c r="V19" s="8" t="s">
        <v>352</v>
      </c>
      <c r="W19" s="8" t="s">
        <v>370</v>
      </c>
      <c r="X19" s="26" t="n">
        <f aca="false">WORKDAY.INTL(DATE(2026,10,13),12,11)</f>
        <v>46322</v>
      </c>
    </row>
    <row r="20" customFormat="false" ht="15" hidden="false" customHeight="false" outlineLevel="0" collapsed="false">
      <c r="A20" s="8" t="s">
        <v>371</v>
      </c>
      <c r="B20" s="8" t="s">
        <v>25</v>
      </c>
      <c r="C20" s="8" t="n">
        <v>1</v>
      </c>
      <c r="D20" s="8" t="s">
        <v>352</v>
      </c>
      <c r="E20" s="8" t="s">
        <v>352</v>
      </c>
      <c r="F20" s="8" t="s">
        <v>352</v>
      </c>
      <c r="G20" s="8" t="s">
        <v>352</v>
      </c>
      <c r="H20" s="8" t="s">
        <v>352</v>
      </c>
      <c r="I20" s="8" t="s">
        <v>352</v>
      </c>
      <c r="J20" s="8" t="s">
        <v>352</v>
      </c>
      <c r="K20" s="8" t="s">
        <v>48</v>
      </c>
      <c r="L20" s="8" t="s">
        <v>353</v>
      </c>
      <c r="M20" s="8" t="s">
        <v>354</v>
      </c>
      <c r="N20" s="8" t="s">
        <v>356</v>
      </c>
      <c r="O20" s="8" t="s">
        <v>357</v>
      </c>
      <c r="P20" s="8" t="s">
        <v>359</v>
      </c>
      <c r="Q20" s="8" t="s">
        <v>361</v>
      </c>
      <c r="R20" s="8" t="s">
        <v>363</v>
      </c>
      <c r="S20" s="8" t="s">
        <v>365</v>
      </c>
      <c r="T20" s="8" t="s">
        <v>366</v>
      </c>
      <c r="U20" s="8" t="s">
        <v>368</v>
      </c>
      <c r="V20" s="8" t="s">
        <v>352</v>
      </c>
      <c r="W20" s="8" t="s">
        <v>370</v>
      </c>
      <c r="X20" s="26" t="n">
        <f aca="false">WORKDAY.INTL(DATE(2026,10,13),12,11)</f>
        <v>46322</v>
      </c>
    </row>
    <row r="21" customFormat="false" ht="15" hidden="false" customHeight="false" outlineLevel="0" collapsed="false">
      <c r="A21" s="8" t="s">
        <v>373</v>
      </c>
      <c r="B21" s="8" t="s">
        <v>28</v>
      </c>
      <c r="C21" s="8" t="n">
        <v>2</v>
      </c>
      <c r="D21" s="8" t="s">
        <v>352</v>
      </c>
      <c r="E21" s="8" t="s">
        <v>352</v>
      </c>
      <c r="F21" s="8" t="s">
        <v>352</v>
      </c>
      <c r="G21" s="8" t="s">
        <v>352</v>
      </c>
      <c r="H21" s="8" t="s">
        <v>352</v>
      </c>
      <c r="I21" s="8" t="s">
        <v>352</v>
      </c>
      <c r="J21" s="8" t="s">
        <v>48</v>
      </c>
      <c r="K21" s="8" t="s">
        <v>353</v>
      </c>
      <c r="L21" s="8" t="s">
        <v>354</v>
      </c>
      <c r="M21" s="8" t="s">
        <v>356</v>
      </c>
      <c r="N21" s="8" t="s">
        <v>357</v>
      </c>
      <c r="O21" s="8" t="s">
        <v>359</v>
      </c>
      <c r="P21" s="8" t="s">
        <v>361</v>
      </c>
      <c r="Q21" s="8" t="s">
        <v>363</v>
      </c>
      <c r="R21" s="8" t="s">
        <v>365</v>
      </c>
      <c r="S21" s="8" t="s">
        <v>366</v>
      </c>
      <c r="T21" s="8" t="s">
        <v>368</v>
      </c>
      <c r="U21" s="8" t="s">
        <v>370</v>
      </c>
      <c r="V21" s="8" t="s">
        <v>372</v>
      </c>
      <c r="W21" s="8" t="s">
        <v>374</v>
      </c>
      <c r="X21" s="26" t="n">
        <f aca="false">WORKDAY.INTL(DATE(2026,10,12),11,11)</f>
        <v>46319</v>
      </c>
    </row>
    <row r="22" customFormat="false" ht="15" hidden="false" customHeight="false" outlineLevel="0" collapsed="false">
      <c r="A22" s="8" t="s">
        <v>373</v>
      </c>
      <c r="B22" s="8" t="s">
        <v>72</v>
      </c>
      <c r="C22" s="8" t="n">
        <v>1</v>
      </c>
      <c r="D22" s="8" t="s">
        <v>352</v>
      </c>
      <c r="E22" s="8" t="s">
        <v>352</v>
      </c>
      <c r="F22" s="8" t="s">
        <v>352</v>
      </c>
      <c r="G22" s="8" t="s">
        <v>352</v>
      </c>
      <c r="H22" s="8" t="s">
        <v>352</v>
      </c>
      <c r="I22" s="8" t="s">
        <v>352</v>
      </c>
      <c r="J22" s="8" t="s">
        <v>48</v>
      </c>
      <c r="K22" s="8" t="s">
        <v>353</v>
      </c>
      <c r="L22" s="8" t="s">
        <v>354</v>
      </c>
      <c r="M22" s="8" t="s">
        <v>356</v>
      </c>
      <c r="N22" s="8" t="s">
        <v>357</v>
      </c>
      <c r="O22" s="8" t="s">
        <v>359</v>
      </c>
      <c r="P22" s="8" t="s">
        <v>361</v>
      </c>
      <c r="Q22" s="8" t="s">
        <v>363</v>
      </c>
      <c r="R22" s="8" t="s">
        <v>365</v>
      </c>
      <c r="S22" s="8" t="s">
        <v>366</v>
      </c>
      <c r="T22" s="8" t="s">
        <v>368</v>
      </c>
      <c r="U22" s="8" t="s">
        <v>370</v>
      </c>
      <c r="V22" s="8" t="s">
        <v>352</v>
      </c>
      <c r="W22" s="8" t="s">
        <v>372</v>
      </c>
      <c r="X22" s="26" t="n">
        <f aca="false">WORKDAY.INTL(DATE(2026,10,12),12,11)</f>
        <v>46321</v>
      </c>
    </row>
    <row r="23" customFormat="false" ht="15" hidden="false" customHeight="false" outlineLevel="0" collapsed="false">
      <c r="A23" s="8" t="s">
        <v>375</v>
      </c>
      <c r="B23" s="8" t="s">
        <v>28</v>
      </c>
      <c r="C23" s="8" t="n">
        <v>6</v>
      </c>
      <c r="D23" s="8" t="s">
        <v>352</v>
      </c>
      <c r="E23" s="8" t="s">
        <v>352</v>
      </c>
      <c r="F23" s="8" t="s">
        <v>352</v>
      </c>
      <c r="G23" s="8" t="s">
        <v>352</v>
      </c>
      <c r="H23" s="8" t="s">
        <v>48</v>
      </c>
      <c r="I23" s="8" t="s">
        <v>353</v>
      </c>
      <c r="J23" s="8" t="s">
        <v>354</v>
      </c>
      <c r="K23" s="8" t="s">
        <v>356</v>
      </c>
      <c r="L23" s="8" t="s">
        <v>357</v>
      </c>
      <c r="M23" s="8" t="s">
        <v>359</v>
      </c>
      <c r="N23" s="8" t="s">
        <v>361</v>
      </c>
      <c r="O23" s="8" t="s">
        <v>363</v>
      </c>
      <c r="P23" s="8" t="s">
        <v>365</v>
      </c>
      <c r="Q23" s="8" t="s">
        <v>366</v>
      </c>
      <c r="R23" s="8" t="s">
        <v>368</v>
      </c>
      <c r="S23" s="8" t="s">
        <v>370</v>
      </c>
      <c r="T23" s="8" t="s">
        <v>372</v>
      </c>
      <c r="U23" s="8" t="s">
        <v>374</v>
      </c>
      <c r="V23" s="8" t="s">
        <v>374</v>
      </c>
      <c r="W23" s="8" t="s">
        <v>374</v>
      </c>
      <c r="X23" s="26" t="n">
        <f aca="false">WORKDAY.INTL(DATE(2026,10,9),12,11)</f>
        <v>46318</v>
      </c>
    </row>
    <row r="24" customFormat="false" ht="15" hidden="false" customHeight="false" outlineLevel="0" collapsed="false">
      <c r="A24" s="8" t="s">
        <v>375</v>
      </c>
      <c r="B24" s="8" t="s">
        <v>72</v>
      </c>
      <c r="C24" s="8" t="n">
        <v>2</v>
      </c>
      <c r="D24" s="8" t="s">
        <v>352</v>
      </c>
      <c r="E24" s="8" t="s">
        <v>352</v>
      </c>
      <c r="F24" s="8" t="s">
        <v>352</v>
      </c>
      <c r="G24" s="8" t="s">
        <v>352</v>
      </c>
      <c r="H24" s="8" t="s">
        <v>48</v>
      </c>
      <c r="I24" s="8" t="s">
        <v>353</v>
      </c>
      <c r="J24" s="8" t="s">
        <v>354</v>
      </c>
      <c r="K24" s="8" t="s">
        <v>356</v>
      </c>
      <c r="L24" s="8" t="s">
        <v>357</v>
      </c>
      <c r="M24" s="8" t="s">
        <v>359</v>
      </c>
      <c r="N24" s="8" t="s">
        <v>361</v>
      </c>
      <c r="O24" s="8" t="s">
        <v>363</v>
      </c>
      <c r="P24" s="8" t="s">
        <v>365</v>
      </c>
      <c r="Q24" s="8" t="s">
        <v>366</v>
      </c>
      <c r="R24" s="8" t="s">
        <v>368</v>
      </c>
      <c r="S24" s="8" t="s">
        <v>370</v>
      </c>
      <c r="T24" s="8" t="s">
        <v>372</v>
      </c>
      <c r="U24" s="8" t="s">
        <v>374</v>
      </c>
      <c r="V24" s="8" t="s">
        <v>352</v>
      </c>
      <c r="W24" s="8" t="s">
        <v>374</v>
      </c>
      <c r="X24" s="26" t="n">
        <f aca="false">WORKDAY.INTL(DATE(2026,10,9),12,11)</f>
        <v>46318</v>
      </c>
    </row>
    <row r="25" customFormat="false" ht="15" hidden="false" customHeight="false" outlineLevel="0" collapsed="false">
      <c r="A25" s="8" t="s">
        <v>376</v>
      </c>
      <c r="B25" s="8" t="s">
        <v>72</v>
      </c>
      <c r="C25" s="8" t="n">
        <v>1</v>
      </c>
      <c r="D25" s="8" t="s">
        <v>352</v>
      </c>
      <c r="E25" s="8" t="s">
        <v>352</v>
      </c>
      <c r="F25" s="8" t="s">
        <v>352</v>
      </c>
      <c r="G25" s="8" t="s">
        <v>48</v>
      </c>
      <c r="H25" s="8" t="s">
        <v>353</v>
      </c>
      <c r="I25" s="8" t="s">
        <v>354</v>
      </c>
      <c r="J25" s="8" t="s">
        <v>356</v>
      </c>
      <c r="K25" s="8" t="s">
        <v>357</v>
      </c>
      <c r="L25" s="8" t="s">
        <v>359</v>
      </c>
      <c r="M25" s="8" t="s">
        <v>361</v>
      </c>
      <c r="N25" s="8" t="s">
        <v>363</v>
      </c>
      <c r="O25" s="8" t="s">
        <v>365</v>
      </c>
      <c r="P25" s="8" t="s">
        <v>366</v>
      </c>
      <c r="Q25" s="8" t="s">
        <v>368</v>
      </c>
      <c r="R25" s="8" t="s">
        <v>370</v>
      </c>
      <c r="S25" s="8" t="s">
        <v>372</v>
      </c>
      <c r="T25" s="8" t="s">
        <v>374</v>
      </c>
      <c r="U25" s="8" t="s">
        <v>374</v>
      </c>
      <c r="V25" s="8" t="s">
        <v>352</v>
      </c>
      <c r="W25" s="8" t="s">
        <v>374</v>
      </c>
      <c r="X25" s="26" t="n">
        <f aca="false">WORKDAY.INTL(DATE(2026,10,8),12,11)</f>
        <v>46317</v>
      </c>
    </row>
    <row r="26" customFormat="false" ht="15" hidden="false" customHeight="false" outlineLevel="0" collapsed="false">
      <c r="A26" s="8" t="s">
        <v>376</v>
      </c>
      <c r="B26" s="8" t="s">
        <v>25</v>
      </c>
      <c r="C26" s="8" t="n">
        <v>3</v>
      </c>
      <c r="D26" s="8" t="s">
        <v>352</v>
      </c>
      <c r="E26" s="8" t="s">
        <v>352</v>
      </c>
      <c r="F26" s="8" t="s">
        <v>352</v>
      </c>
      <c r="G26" s="8" t="s">
        <v>48</v>
      </c>
      <c r="H26" s="8" t="s">
        <v>353</v>
      </c>
      <c r="I26" s="8" t="s">
        <v>354</v>
      </c>
      <c r="J26" s="8" t="s">
        <v>356</v>
      </c>
      <c r="K26" s="8" t="s">
        <v>357</v>
      </c>
      <c r="L26" s="8" t="s">
        <v>359</v>
      </c>
      <c r="M26" s="8" t="s">
        <v>361</v>
      </c>
      <c r="N26" s="8" t="s">
        <v>363</v>
      </c>
      <c r="O26" s="8" t="s">
        <v>365</v>
      </c>
      <c r="P26" s="8" t="s">
        <v>366</v>
      </c>
      <c r="Q26" s="8" t="s">
        <v>368</v>
      </c>
      <c r="R26" s="8" t="s">
        <v>370</v>
      </c>
      <c r="S26" s="8" t="s">
        <v>372</v>
      </c>
      <c r="T26" s="8" t="s">
        <v>374</v>
      </c>
      <c r="U26" s="8" t="s">
        <v>374</v>
      </c>
      <c r="V26" s="8" t="s">
        <v>352</v>
      </c>
      <c r="W26" s="8" t="s">
        <v>374</v>
      </c>
      <c r="X26" s="26" t="n">
        <f aca="false">WORKDAY.INTL(DATE(2026,10,8),12,11)</f>
        <v>46317</v>
      </c>
    </row>
    <row r="27" customFormat="false" ht="15" hidden="false" customHeight="false" outlineLevel="0" collapsed="false">
      <c r="A27" s="8" t="s">
        <v>377</v>
      </c>
      <c r="B27" s="8" t="s">
        <v>28</v>
      </c>
      <c r="C27" s="8" t="n">
        <v>6</v>
      </c>
      <c r="D27" s="8" t="s">
        <v>352</v>
      </c>
      <c r="E27" s="8" t="s">
        <v>352</v>
      </c>
      <c r="F27" s="8" t="s">
        <v>48</v>
      </c>
      <c r="G27" s="8" t="s">
        <v>353</v>
      </c>
      <c r="H27" s="8" t="s">
        <v>354</v>
      </c>
      <c r="I27" s="8" t="s">
        <v>356</v>
      </c>
      <c r="J27" s="8" t="s">
        <v>357</v>
      </c>
      <c r="K27" s="8" t="s">
        <v>359</v>
      </c>
      <c r="L27" s="8" t="s">
        <v>361</v>
      </c>
      <c r="M27" s="8" t="s">
        <v>363</v>
      </c>
      <c r="N27" s="8" t="s">
        <v>365</v>
      </c>
      <c r="O27" s="8" t="s">
        <v>366</v>
      </c>
      <c r="P27" s="8" t="s">
        <v>368</v>
      </c>
      <c r="Q27" s="8" t="s">
        <v>370</v>
      </c>
      <c r="R27" s="8" t="s">
        <v>372</v>
      </c>
      <c r="S27" s="8" t="s">
        <v>374</v>
      </c>
      <c r="T27" s="8" t="s">
        <v>374</v>
      </c>
      <c r="U27" s="8" t="s">
        <v>374</v>
      </c>
      <c r="V27" s="8" t="s">
        <v>374</v>
      </c>
      <c r="W27" s="8" t="s">
        <v>374</v>
      </c>
      <c r="X27" s="26" t="n">
        <f aca="false">WORKDAY.INTL(DATE(2026,10,7),12,11)</f>
        <v>46316</v>
      </c>
    </row>
    <row r="28" customFormat="false" ht="15" hidden="false" customHeight="false" outlineLevel="0" collapsed="false">
      <c r="A28" s="8" t="s">
        <v>377</v>
      </c>
      <c r="B28" s="8" t="s">
        <v>72</v>
      </c>
      <c r="C28" s="8" t="n">
        <v>2</v>
      </c>
      <c r="D28" s="8" t="s">
        <v>352</v>
      </c>
      <c r="E28" s="8" t="s">
        <v>352</v>
      </c>
      <c r="F28" s="8" t="s">
        <v>48</v>
      </c>
      <c r="G28" s="8" t="s">
        <v>353</v>
      </c>
      <c r="H28" s="8" t="s">
        <v>354</v>
      </c>
      <c r="I28" s="8" t="s">
        <v>356</v>
      </c>
      <c r="J28" s="8" t="s">
        <v>357</v>
      </c>
      <c r="K28" s="8" t="s">
        <v>359</v>
      </c>
      <c r="L28" s="8" t="s">
        <v>361</v>
      </c>
      <c r="M28" s="8" t="s">
        <v>363</v>
      </c>
      <c r="N28" s="8" t="s">
        <v>365</v>
      </c>
      <c r="O28" s="8" t="s">
        <v>366</v>
      </c>
      <c r="P28" s="8" t="s">
        <v>368</v>
      </c>
      <c r="Q28" s="8" t="s">
        <v>370</v>
      </c>
      <c r="R28" s="8" t="s">
        <v>372</v>
      </c>
      <c r="S28" s="8" t="s">
        <v>374</v>
      </c>
      <c r="T28" s="8" t="s">
        <v>374</v>
      </c>
      <c r="U28" s="8" t="s">
        <v>374</v>
      </c>
      <c r="V28" s="8" t="s">
        <v>352</v>
      </c>
      <c r="W28" s="8" t="s">
        <v>374</v>
      </c>
      <c r="X28" s="26" t="n">
        <f aca="false">WORKDAY.INTL(DATE(2026,10,7),12,11)</f>
        <v>46316</v>
      </c>
    </row>
    <row r="29" customFormat="false" ht="15" hidden="false" customHeight="false" outlineLevel="0" collapsed="false">
      <c r="A29" s="8" t="s">
        <v>378</v>
      </c>
      <c r="B29" s="8" t="s">
        <v>28</v>
      </c>
      <c r="C29" s="8" t="n">
        <v>7</v>
      </c>
      <c r="D29" s="8" t="s">
        <v>352</v>
      </c>
      <c r="E29" s="8" t="s">
        <v>48</v>
      </c>
      <c r="F29" s="8" t="s">
        <v>353</v>
      </c>
      <c r="G29" s="8" t="s">
        <v>354</v>
      </c>
      <c r="H29" s="8" t="s">
        <v>356</v>
      </c>
      <c r="I29" s="8" t="s">
        <v>357</v>
      </c>
      <c r="J29" s="8" t="s">
        <v>359</v>
      </c>
      <c r="K29" s="8" t="s">
        <v>361</v>
      </c>
      <c r="L29" s="8" t="s">
        <v>363</v>
      </c>
      <c r="M29" s="8" t="s">
        <v>365</v>
      </c>
      <c r="N29" s="8" t="s">
        <v>366</v>
      </c>
      <c r="O29" s="8" t="s">
        <v>368</v>
      </c>
      <c r="P29" s="8" t="s">
        <v>370</v>
      </c>
      <c r="Q29" s="8" t="s">
        <v>372</v>
      </c>
      <c r="R29" s="8" t="s">
        <v>374</v>
      </c>
      <c r="S29" s="8" t="s">
        <v>374</v>
      </c>
      <c r="T29" s="8" t="s">
        <v>374</v>
      </c>
      <c r="U29" s="8" t="s">
        <v>374</v>
      </c>
      <c r="V29" s="8" t="s">
        <v>374</v>
      </c>
      <c r="W29" s="8" t="s">
        <v>374</v>
      </c>
      <c r="X29" s="26" t="n">
        <f aca="false">WORKDAY.INTL(DATE(2026,10,6),12,11)</f>
        <v>46315</v>
      </c>
    </row>
    <row r="30" customFormat="false" ht="15" hidden="false" customHeight="false" outlineLevel="0" collapsed="false">
      <c r="A30" s="8" t="s">
        <v>378</v>
      </c>
      <c r="B30" s="8" t="s">
        <v>72</v>
      </c>
      <c r="C30" s="8" t="n">
        <v>4</v>
      </c>
      <c r="D30" s="8" t="s">
        <v>352</v>
      </c>
      <c r="E30" s="8" t="s">
        <v>48</v>
      </c>
      <c r="F30" s="8" t="s">
        <v>353</v>
      </c>
      <c r="G30" s="8" t="s">
        <v>354</v>
      </c>
      <c r="H30" s="8" t="s">
        <v>356</v>
      </c>
      <c r="I30" s="8" t="s">
        <v>357</v>
      </c>
      <c r="J30" s="8" t="s">
        <v>359</v>
      </c>
      <c r="K30" s="8" t="s">
        <v>361</v>
      </c>
      <c r="L30" s="8" t="s">
        <v>363</v>
      </c>
      <c r="M30" s="8" t="s">
        <v>365</v>
      </c>
      <c r="N30" s="8" t="s">
        <v>366</v>
      </c>
      <c r="O30" s="8" t="s">
        <v>368</v>
      </c>
      <c r="P30" s="8" t="s">
        <v>370</v>
      </c>
      <c r="Q30" s="8" t="s">
        <v>372</v>
      </c>
      <c r="R30" s="8" t="s">
        <v>374</v>
      </c>
      <c r="S30" s="8" t="s">
        <v>374</v>
      </c>
      <c r="T30" s="8" t="s">
        <v>374</v>
      </c>
      <c r="U30" s="8" t="s">
        <v>374</v>
      </c>
      <c r="V30" s="8" t="s">
        <v>352</v>
      </c>
      <c r="W30" s="8" t="s">
        <v>374</v>
      </c>
      <c r="X30" s="26" t="n">
        <f aca="false">WORKDAY.INTL(DATE(2026,10,6),12,11)</f>
        <v>46315</v>
      </c>
    </row>
    <row r="31" customFormat="false" ht="15" hidden="false" customHeight="false" outlineLevel="0" collapsed="false">
      <c r="A31" s="8" t="s">
        <v>378</v>
      </c>
      <c r="B31" s="8" t="s">
        <v>25</v>
      </c>
      <c r="C31" s="8" t="n">
        <v>3</v>
      </c>
      <c r="D31" s="8" t="s">
        <v>352</v>
      </c>
      <c r="E31" s="8" t="s">
        <v>48</v>
      </c>
      <c r="F31" s="8" t="s">
        <v>353</v>
      </c>
      <c r="G31" s="8" t="s">
        <v>354</v>
      </c>
      <c r="H31" s="8" t="s">
        <v>356</v>
      </c>
      <c r="I31" s="8" t="s">
        <v>357</v>
      </c>
      <c r="J31" s="8" t="s">
        <v>359</v>
      </c>
      <c r="K31" s="8" t="s">
        <v>361</v>
      </c>
      <c r="L31" s="8" t="s">
        <v>363</v>
      </c>
      <c r="M31" s="8" t="s">
        <v>365</v>
      </c>
      <c r="N31" s="8" t="s">
        <v>366</v>
      </c>
      <c r="O31" s="8" t="s">
        <v>368</v>
      </c>
      <c r="P31" s="8" t="s">
        <v>370</v>
      </c>
      <c r="Q31" s="8" t="s">
        <v>372</v>
      </c>
      <c r="R31" s="8" t="s">
        <v>374</v>
      </c>
      <c r="S31" s="8" t="s">
        <v>374</v>
      </c>
      <c r="T31" s="8" t="s">
        <v>374</v>
      </c>
      <c r="U31" s="8" t="s">
        <v>374</v>
      </c>
      <c r="V31" s="8" t="s">
        <v>352</v>
      </c>
      <c r="W31" s="8" t="s">
        <v>374</v>
      </c>
      <c r="X31" s="26" t="n">
        <f aca="false">WORKDAY.INTL(DATE(2026,10,6),12,11)</f>
        <v>46315</v>
      </c>
    </row>
    <row r="32" customFormat="false" ht="15" hidden="false" customHeight="false" outlineLevel="0" collapsed="false">
      <c r="A32" s="8" t="s">
        <v>379</v>
      </c>
      <c r="B32" s="8" t="s">
        <v>28</v>
      </c>
      <c r="C32" s="8" t="n">
        <v>6</v>
      </c>
      <c r="D32" s="8" t="s">
        <v>48</v>
      </c>
      <c r="E32" s="8" t="s">
        <v>353</v>
      </c>
      <c r="F32" s="8" t="s">
        <v>354</v>
      </c>
      <c r="G32" s="8" t="s">
        <v>356</v>
      </c>
      <c r="H32" s="8" t="s">
        <v>357</v>
      </c>
      <c r="I32" s="8" t="s">
        <v>359</v>
      </c>
      <c r="J32" s="8" t="s">
        <v>361</v>
      </c>
      <c r="K32" s="8" t="s">
        <v>363</v>
      </c>
      <c r="L32" s="8" t="s">
        <v>365</v>
      </c>
      <c r="M32" s="8" t="s">
        <v>366</v>
      </c>
      <c r="N32" s="8" t="s">
        <v>368</v>
      </c>
      <c r="O32" s="8" t="s">
        <v>370</v>
      </c>
      <c r="P32" s="8" t="s">
        <v>372</v>
      </c>
      <c r="Q32" s="8" t="s">
        <v>374</v>
      </c>
      <c r="R32" s="8" t="s">
        <v>374</v>
      </c>
      <c r="S32" s="8" t="s">
        <v>374</v>
      </c>
      <c r="T32" s="8" t="s">
        <v>374</v>
      </c>
      <c r="U32" s="8" t="s">
        <v>374</v>
      </c>
      <c r="V32" s="8" t="s">
        <v>374</v>
      </c>
      <c r="W32" s="8" t="s">
        <v>374</v>
      </c>
      <c r="X32" s="26" t="n">
        <f aca="false">WORKDAY.INTL(DATE(2026,10,5),12,11)</f>
        <v>46314</v>
      </c>
    </row>
    <row r="33" customFormat="false" ht="15" hidden="false" customHeight="false" outlineLevel="0" collapsed="false">
      <c r="A33" s="13" t="s">
        <v>380</v>
      </c>
      <c r="B33" s="13" t="s">
        <v>28</v>
      </c>
      <c r="C33" s="13" t="n">
        <v>7</v>
      </c>
      <c r="D33" s="13" t="s">
        <v>359</v>
      </c>
      <c r="E33" s="13" t="s">
        <v>361</v>
      </c>
      <c r="F33" s="13" t="s">
        <v>363</v>
      </c>
      <c r="G33" s="13" t="s">
        <v>365</v>
      </c>
      <c r="H33" s="13" t="s">
        <v>366</v>
      </c>
      <c r="I33" s="13" t="s">
        <v>368</v>
      </c>
      <c r="J33" s="13" t="s">
        <v>370</v>
      </c>
      <c r="K33" s="13" t="s">
        <v>372</v>
      </c>
      <c r="L33" s="13" t="s">
        <v>374</v>
      </c>
      <c r="M33" s="13" t="s">
        <v>374</v>
      </c>
      <c r="N33" s="13" t="s">
        <v>374</v>
      </c>
      <c r="O33" s="13" t="s">
        <v>374</v>
      </c>
      <c r="P33" s="13" t="s">
        <v>374</v>
      </c>
      <c r="Q33" s="13" t="s">
        <v>374</v>
      </c>
      <c r="R33" s="13" t="s">
        <v>374</v>
      </c>
      <c r="S33" s="13" t="s">
        <v>374</v>
      </c>
      <c r="T33" s="13" t="s">
        <v>374</v>
      </c>
      <c r="U33" s="13" t="s">
        <v>374</v>
      </c>
      <c r="V33" s="13" t="s">
        <v>374</v>
      </c>
      <c r="W33" s="13" t="s">
        <v>374</v>
      </c>
      <c r="X33" s="27" t="n">
        <f aca="false">WORKDAY.INTL(DATE(2026,10,5),6,11)</f>
        <v>46307</v>
      </c>
    </row>
    <row r="34" customFormat="false" ht="15" hidden="false" customHeight="false" outlineLevel="0" collapsed="false">
      <c r="A34" s="13" t="s">
        <v>381</v>
      </c>
      <c r="B34" s="13" t="s">
        <v>28</v>
      </c>
      <c r="C34" s="13" t="n">
        <v>3</v>
      </c>
      <c r="D34" s="13" t="s">
        <v>368</v>
      </c>
      <c r="E34" s="13" t="s">
        <v>370</v>
      </c>
      <c r="F34" s="13" t="s">
        <v>372</v>
      </c>
      <c r="G34" s="13" t="s">
        <v>374</v>
      </c>
      <c r="H34" s="13" t="s">
        <v>374</v>
      </c>
      <c r="I34" s="13" t="s">
        <v>374</v>
      </c>
      <c r="J34" s="13" t="s">
        <v>374</v>
      </c>
      <c r="K34" s="13" t="s">
        <v>374</v>
      </c>
      <c r="L34" s="13" t="s">
        <v>374</v>
      </c>
      <c r="M34" s="13" t="s">
        <v>374</v>
      </c>
      <c r="N34" s="13" t="s">
        <v>374</v>
      </c>
      <c r="O34" s="13" t="s">
        <v>374</v>
      </c>
      <c r="P34" s="13" t="s">
        <v>374</v>
      </c>
      <c r="Q34" s="13" t="s">
        <v>374</v>
      </c>
      <c r="R34" s="13" t="s">
        <v>374</v>
      </c>
      <c r="S34" s="13" t="s">
        <v>374</v>
      </c>
      <c r="T34" s="13" t="s">
        <v>374</v>
      </c>
      <c r="U34" s="13" t="s">
        <v>374</v>
      </c>
      <c r="V34" s="13" t="s">
        <v>374</v>
      </c>
      <c r="W34" s="13" t="s">
        <v>374</v>
      </c>
      <c r="X34" s="27" t="n">
        <f aca="false">WORKDAY.INTL(DATE(2026,10,5),1,11)</f>
        <v>46301</v>
      </c>
    </row>
    <row r="35" customFormat="false" ht="15" hidden="false" customHeight="false" outlineLevel="0" collapsed="false">
      <c r="A35" s="13" t="s">
        <v>382</v>
      </c>
      <c r="B35" s="13" t="s">
        <v>28</v>
      </c>
      <c r="C35" s="13" t="n">
        <v>5</v>
      </c>
      <c r="D35" s="13" t="s">
        <v>359</v>
      </c>
      <c r="E35" s="13" t="s">
        <v>361</v>
      </c>
      <c r="F35" s="13" t="s">
        <v>363</v>
      </c>
      <c r="G35" s="13" t="s">
        <v>365</v>
      </c>
      <c r="H35" s="13" t="s">
        <v>366</v>
      </c>
      <c r="I35" s="13" t="s">
        <v>368</v>
      </c>
      <c r="J35" s="13" t="s">
        <v>370</v>
      </c>
      <c r="K35" s="13" t="s">
        <v>372</v>
      </c>
      <c r="L35" s="13" t="s">
        <v>374</v>
      </c>
      <c r="M35" s="13" t="s">
        <v>374</v>
      </c>
      <c r="N35" s="13" t="s">
        <v>374</v>
      </c>
      <c r="O35" s="13" t="s">
        <v>374</v>
      </c>
      <c r="P35" s="13" t="s">
        <v>374</v>
      </c>
      <c r="Q35" s="13" t="s">
        <v>374</v>
      </c>
      <c r="R35" s="13" t="s">
        <v>374</v>
      </c>
      <c r="S35" s="13" t="s">
        <v>374</v>
      </c>
      <c r="T35" s="13" t="s">
        <v>374</v>
      </c>
      <c r="U35" s="13" t="s">
        <v>374</v>
      </c>
      <c r="V35" s="13" t="s">
        <v>374</v>
      </c>
      <c r="W35" s="13" t="s">
        <v>374</v>
      </c>
      <c r="X35" s="27" t="n">
        <f aca="false">WORKDAY.INTL(DATE(2026,10,5),6,11)</f>
        <v>46307</v>
      </c>
    </row>
    <row r="36" customFormat="false" ht="15" hidden="false" customHeight="false" outlineLevel="0" collapsed="false">
      <c r="A36" s="13" t="s">
        <v>383</v>
      </c>
      <c r="B36" s="13" t="s">
        <v>28</v>
      </c>
      <c r="C36" s="13" t="n">
        <v>1</v>
      </c>
      <c r="D36" s="13" t="s">
        <v>359</v>
      </c>
      <c r="E36" s="13" t="s">
        <v>361</v>
      </c>
      <c r="F36" s="13" t="s">
        <v>363</v>
      </c>
      <c r="G36" s="13" t="s">
        <v>365</v>
      </c>
      <c r="H36" s="13" t="s">
        <v>366</v>
      </c>
      <c r="I36" s="13" t="s">
        <v>368</v>
      </c>
      <c r="J36" s="13" t="s">
        <v>370</v>
      </c>
      <c r="K36" s="13" t="s">
        <v>372</v>
      </c>
      <c r="L36" s="13" t="s">
        <v>374</v>
      </c>
      <c r="M36" s="13" t="s">
        <v>374</v>
      </c>
      <c r="N36" s="13" t="s">
        <v>374</v>
      </c>
      <c r="O36" s="13" t="s">
        <v>374</v>
      </c>
      <c r="P36" s="13" t="s">
        <v>374</v>
      </c>
      <c r="Q36" s="13" t="s">
        <v>374</v>
      </c>
      <c r="R36" s="13" t="s">
        <v>374</v>
      </c>
      <c r="S36" s="13" t="s">
        <v>374</v>
      </c>
      <c r="T36" s="13" t="s">
        <v>374</v>
      </c>
      <c r="U36" s="13" t="s">
        <v>374</v>
      </c>
      <c r="V36" s="13" t="s">
        <v>374</v>
      </c>
      <c r="W36" s="13" t="s">
        <v>374</v>
      </c>
      <c r="X36" s="27" t="n">
        <f aca="false">WORKDAY.INTL(DATE(2026,10,5),6,11)</f>
        <v>46307</v>
      </c>
    </row>
    <row r="37" customFormat="false" ht="15" hidden="false" customHeight="false" outlineLevel="0" collapsed="false">
      <c r="A37" s="13" t="s">
        <v>384</v>
      </c>
      <c r="B37" s="13" t="s">
        <v>28</v>
      </c>
      <c r="C37" s="13" t="n">
        <v>3</v>
      </c>
      <c r="D37" s="13" t="s">
        <v>361</v>
      </c>
      <c r="E37" s="13" t="s">
        <v>363</v>
      </c>
      <c r="F37" s="13" t="s">
        <v>365</v>
      </c>
      <c r="G37" s="13" t="s">
        <v>366</v>
      </c>
      <c r="H37" s="13" t="s">
        <v>368</v>
      </c>
      <c r="I37" s="13" t="s">
        <v>370</v>
      </c>
      <c r="J37" s="13" t="s">
        <v>372</v>
      </c>
      <c r="K37" s="13" t="s">
        <v>374</v>
      </c>
      <c r="L37" s="13" t="s">
        <v>374</v>
      </c>
      <c r="M37" s="13" t="s">
        <v>374</v>
      </c>
      <c r="N37" s="13" t="s">
        <v>374</v>
      </c>
      <c r="O37" s="13" t="s">
        <v>374</v>
      </c>
      <c r="P37" s="13" t="s">
        <v>374</v>
      </c>
      <c r="Q37" s="13" t="s">
        <v>374</v>
      </c>
      <c r="R37" s="13" t="s">
        <v>374</v>
      </c>
      <c r="S37" s="13" t="s">
        <v>374</v>
      </c>
      <c r="T37" s="13" t="s">
        <v>374</v>
      </c>
      <c r="U37" s="13" t="s">
        <v>374</v>
      </c>
      <c r="V37" s="13" t="s">
        <v>374</v>
      </c>
      <c r="W37" s="13" t="s">
        <v>374</v>
      </c>
      <c r="X37" s="27" t="n">
        <f aca="false">WORKDAY.INTL(DATE(2026,10,5),5,11)</f>
        <v>46305</v>
      </c>
    </row>
    <row r="38" customFormat="false" ht="15" hidden="false" customHeight="false" outlineLevel="0" collapsed="false">
      <c r="A38" s="13" t="s">
        <v>385</v>
      </c>
      <c r="B38" s="13" t="s">
        <v>25</v>
      </c>
      <c r="C38" s="13" t="n">
        <v>2</v>
      </c>
      <c r="D38" s="13" t="s">
        <v>359</v>
      </c>
      <c r="E38" s="13" t="s">
        <v>361</v>
      </c>
      <c r="F38" s="13" t="s">
        <v>363</v>
      </c>
      <c r="G38" s="13" t="s">
        <v>365</v>
      </c>
      <c r="H38" s="13" t="s">
        <v>366</v>
      </c>
      <c r="I38" s="13" t="s">
        <v>368</v>
      </c>
      <c r="J38" s="13" t="s">
        <v>370</v>
      </c>
      <c r="K38" s="13" t="s">
        <v>372</v>
      </c>
      <c r="L38" s="13" t="s">
        <v>374</v>
      </c>
      <c r="M38" s="13" t="s">
        <v>374</v>
      </c>
      <c r="N38" s="13" t="s">
        <v>374</v>
      </c>
      <c r="O38" s="13" t="s">
        <v>374</v>
      </c>
      <c r="P38" s="13" t="s">
        <v>374</v>
      </c>
      <c r="Q38" s="13" t="s">
        <v>374</v>
      </c>
      <c r="R38" s="13" t="s">
        <v>374</v>
      </c>
      <c r="S38" s="13" t="s">
        <v>374</v>
      </c>
      <c r="T38" s="13" t="s">
        <v>374</v>
      </c>
      <c r="U38" s="13" t="s">
        <v>374</v>
      </c>
      <c r="V38" s="13" t="s">
        <v>352</v>
      </c>
      <c r="W38" s="13" t="s">
        <v>374</v>
      </c>
      <c r="X38" s="27" t="n">
        <f aca="false">WORKDAY.INTL(DATE(2026,10,5),7,11)</f>
        <v>46308</v>
      </c>
    </row>
    <row r="39" customFormat="false" ht="15" hidden="false" customHeight="false" outlineLevel="0" collapsed="false">
      <c r="A39" s="13" t="s">
        <v>386</v>
      </c>
      <c r="B39" s="13" t="s">
        <v>25</v>
      </c>
      <c r="C39" s="13" t="n">
        <v>4</v>
      </c>
      <c r="D39" s="13" t="s">
        <v>359</v>
      </c>
      <c r="E39" s="13" t="s">
        <v>361</v>
      </c>
      <c r="F39" s="13" t="s">
        <v>363</v>
      </c>
      <c r="G39" s="13" t="s">
        <v>365</v>
      </c>
      <c r="H39" s="13" t="s">
        <v>366</v>
      </c>
      <c r="I39" s="13" t="s">
        <v>368</v>
      </c>
      <c r="J39" s="13" t="s">
        <v>370</v>
      </c>
      <c r="K39" s="13" t="s">
        <v>372</v>
      </c>
      <c r="L39" s="13" t="s">
        <v>374</v>
      </c>
      <c r="M39" s="13" t="s">
        <v>374</v>
      </c>
      <c r="N39" s="13" t="s">
        <v>374</v>
      </c>
      <c r="O39" s="13" t="s">
        <v>374</v>
      </c>
      <c r="P39" s="13" t="s">
        <v>374</v>
      </c>
      <c r="Q39" s="13" t="s">
        <v>374</v>
      </c>
      <c r="R39" s="13" t="s">
        <v>374</v>
      </c>
      <c r="S39" s="13" t="s">
        <v>374</v>
      </c>
      <c r="T39" s="13" t="s">
        <v>374</v>
      </c>
      <c r="U39" s="13" t="s">
        <v>374</v>
      </c>
      <c r="V39" s="13" t="s">
        <v>352</v>
      </c>
      <c r="W39" s="13" t="s">
        <v>374</v>
      </c>
      <c r="X39" s="27" t="n">
        <f aca="false">WORKDAY.INTL(DATE(2026,10,5),7,11)</f>
        <v>46308</v>
      </c>
    </row>
    <row r="40" customFormat="false" ht="15" hidden="false" customHeight="false" outlineLevel="0" collapsed="false">
      <c r="A40" s="13" t="s">
        <v>381</v>
      </c>
      <c r="B40" s="13" t="s">
        <v>25</v>
      </c>
      <c r="C40" s="13" t="n">
        <v>9</v>
      </c>
      <c r="D40" s="13" t="s">
        <v>368</v>
      </c>
      <c r="E40" s="13" t="s">
        <v>370</v>
      </c>
      <c r="F40" s="13" t="s">
        <v>372</v>
      </c>
      <c r="G40" s="13" t="s">
        <v>374</v>
      </c>
      <c r="H40" s="13" t="s">
        <v>374</v>
      </c>
      <c r="I40" s="13" t="s">
        <v>374</v>
      </c>
      <c r="J40" s="13" t="s">
        <v>374</v>
      </c>
      <c r="K40" s="13" t="s">
        <v>374</v>
      </c>
      <c r="L40" s="13" t="s">
        <v>374</v>
      </c>
      <c r="M40" s="13" t="s">
        <v>374</v>
      </c>
      <c r="N40" s="13" t="s">
        <v>374</v>
      </c>
      <c r="O40" s="13" t="s">
        <v>374</v>
      </c>
      <c r="P40" s="13" t="s">
        <v>374</v>
      </c>
      <c r="Q40" s="13" t="s">
        <v>374</v>
      </c>
      <c r="R40" s="13" t="s">
        <v>374</v>
      </c>
      <c r="S40" s="13" t="s">
        <v>374</v>
      </c>
      <c r="T40" s="13" t="s">
        <v>374</v>
      </c>
      <c r="U40" s="13" t="s">
        <v>374</v>
      </c>
      <c r="V40" s="13" t="s">
        <v>352</v>
      </c>
      <c r="W40" s="13" t="s">
        <v>374</v>
      </c>
      <c r="X40" s="27" t="n">
        <f aca="false">WORKDAY.INTL(DATE(2026,10,5),2,11)</f>
        <v>46302</v>
      </c>
    </row>
    <row r="41" customFormat="false" ht="15" hidden="false" customHeight="false" outlineLevel="0" collapsed="false">
      <c r="A41" s="13" t="s">
        <v>382</v>
      </c>
      <c r="B41" s="13" t="s">
        <v>25</v>
      </c>
      <c r="C41" s="13" t="n">
        <v>3</v>
      </c>
      <c r="D41" s="13" t="s">
        <v>359</v>
      </c>
      <c r="E41" s="13" t="s">
        <v>361</v>
      </c>
      <c r="F41" s="13" t="s">
        <v>363</v>
      </c>
      <c r="G41" s="13" t="s">
        <v>365</v>
      </c>
      <c r="H41" s="13" t="s">
        <v>366</v>
      </c>
      <c r="I41" s="13" t="s">
        <v>368</v>
      </c>
      <c r="J41" s="13" t="s">
        <v>370</v>
      </c>
      <c r="K41" s="13" t="s">
        <v>372</v>
      </c>
      <c r="L41" s="13" t="s">
        <v>374</v>
      </c>
      <c r="M41" s="13" t="s">
        <v>374</v>
      </c>
      <c r="N41" s="13" t="s">
        <v>374</v>
      </c>
      <c r="O41" s="13" t="s">
        <v>374</v>
      </c>
      <c r="P41" s="13" t="s">
        <v>374</v>
      </c>
      <c r="Q41" s="13" t="s">
        <v>374</v>
      </c>
      <c r="R41" s="13" t="s">
        <v>374</v>
      </c>
      <c r="S41" s="13" t="s">
        <v>374</v>
      </c>
      <c r="T41" s="13" t="s">
        <v>374</v>
      </c>
      <c r="U41" s="13" t="s">
        <v>374</v>
      </c>
      <c r="V41" s="13" t="s">
        <v>352</v>
      </c>
      <c r="W41" s="13" t="s">
        <v>374</v>
      </c>
      <c r="X41" s="27" t="n">
        <f aca="false">WORKDAY.INTL(DATE(2026,10,5),7,11)</f>
        <v>46308</v>
      </c>
    </row>
    <row r="42" customFormat="false" ht="15" hidden="false" customHeight="false" outlineLevel="0" collapsed="false">
      <c r="A42" s="13" t="s">
        <v>383</v>
      </c>
      <c r="B42" s="13" t="s">
        <v>25</v>
      </c>
      <c r="C42" s="13" t="n">
        <v>1</v>
      </c>
      <c r="D42" s="13" t="s">
        <v>359</v>
      </c>
      <c r="E42" s="13" t="s">
        <v>361</v>
      </c>
      <c r="F42" s="13" t="s">
        <v>363</v>
      </c>
      <c r="G42" s="13" t="s">
        <v>365</v>
      </c>
      <c r="H42" s="13" t="s">
        <v>366</v>
      </c>
      <c r="I42" s="13" t="s">
        <v>368</v>
      </c>
      <c r="J42" s="13" t="s">
        <v>370</v>
      </c>
      <c r="K42" s="13" t="s">
        <v>372</v>
      </c>
      <c r="L42" s="13" t="s">
        <v>374</v>
      </c>
      <c r="M42" s="13" t="s">
        <v>374</v>
      </c>
      <c r="N42" s="13" t="s">
        <v>374</v>
      </c>
      <c r="O42" s="13" t="s">
        <v>374</v>
      </c>
      <c r="P42" s="13" t="s">
        <v>374</v>
      </c>
      <c r="Q42" s="13" t="s">
        <v>374</v>
      </c>
      <c r="R42" s="13" t="s">
        <v>374</v>
      </c>
      <c r="S42" s="13" t="s">
        <v>374</v>
      </c>
      <c r="T42" s="13" t="s">
        <v>374</v>
      </c>
      <c r="U42" s="13" t="s">
        <v>374</v>
      </c>
      <c r="V42" s="13" t="s">
        <v>352</v>
      </c>
      <c r="W42" s="13" t="s">
        <v>374</v>
      </c>
      <c r="X42" s="27" t="n">
        <f aca="false">WORKDAY.INTL(DATE(2026,10,5),7,11)</f>
        <v>46308</v>
      </c>
    </row>
    <row r="43" customFormat="false" ht="15" hidden="false" customHeight="false" outlineLevel="0" collapsed="false">
      <c r="A43" s="13" t="s">
        <v>386</v>
      </c>
      <c r="B43" s="13" t="s">
        <v>68</v>
      </c>
      <c r="C43" s="13" t="n">
        <v>1</v>
      </c>
      <c r="D43" s="13" t="s">
        <v>359</v>
      </c>
      <c r="E43" s="13" t="s">
        <v>361</v>
      </c>
      <c r="F43" s="13" t="s">
        <v>363</v>
      </c>
      <c r="G43" s="13" t="s">
        <v>365</v>
      </c>
      <c r="H43" s="13" t="s">
        <v>366</v>
      </c>
      <c r="I43" s="13" t="s">
        <v>368</v>
      </c>
      <c r="J43" s="13" t="s">
        <v>370</v>
      </c>
      <c r="K43" s="13" t="s">
        <v>372</v>
      </c>
      <c r="L43" s="13" t="s">
        <v>374</v>
      </c>
      <c r="M43" s="13" t="s">
        <v>374</v>
      </c>
      <c r="N43" s="13" t="s">
        <v>374</v>
      </c>
      <c r="O43" s="13" t="s">
        <v>374</v>
      </c>
      <c r="P43" s="13" t="s">
        <v>374</v>
      </c>
      <c r="Q43" s="13" t="s">
        <v>374</v>
      </c>
      <c r="R43" s="13" t="s">
        <v>374</v>
      </c>
      <c r="S43" s="13" t="s">
        <v>374</v>
      </c>
      <c r="T43" s="13" t="s">
        <v>374</v>
      </c>
      <c r="U43" s="13" t="s">
        <v>374</v>
      </c>
      <c r="V43" s="13" t="s">
        <v>352</v>
      </c>
      <c r="W43" s="13" t="s">
        <v>374</v>
      </c>
      <c r="X43" s="27" t="n">
        <f aca="false">WORKDAY.INTL(DATE(2026,10,5),7,11)</f>
        <v>46308</v>
      </c>
    </row>
    <row r="44" customFormat="false" ht="15" hidden="false" customHeight="false" outlineLevel="0" collapsed="false">
      <c r="A44" s="13" t="s">
        <v>381</v>
      </c>
      <c r="B44" s="13" t="s">
        <v>68</v>
      </c>
      <c r="C44" s="13" t="n">
        <v>1</v>
      </c>
      <c r="D44" s="13" t="s">
        <v>359</v>
      </c>
      <c r="E44" s="13" t="s">
        <v>361</v>
      </c>
      <c r="F44" s="13" t="s">
        <v>363</v>
      </c>
      <c r="G44" s="13" t="s">
        <v>365</v>
      </c>
      <c r="H44" s="13" t="s">
        <v>366</v>
      </c>
      <c r="I44" s="13" t="s">
        <v>368</v>
      </c>
      <c r="J44" s="13" t="s">
        <v>370</v>
      </c>
      <c r="K44" s="13" t="s">
        <v>372</v>
      </c>
      <c r="L44" s="13" t="s">
        <v>374</v>
      </c>
      <c r="M44" s="13" t="s">
        <v>374</v>
      </c>
      <c r="N44" s="13" t="s">
        <v>374</v>
      </c>
      <c r="O44" s="13" t="s">
        <v>374</v>
      </c>
      <c r="P44" s="13" t="s">
        <v>374</v>
      </c>
      <c r="Q44" s="13" t="s">
        <v>374</v>
      </c>
      <c r="R44" s="13" t="s">
        <v>374</v>
      </c>
      <c r="S44" s="13" t="s">
        <v>374</v>
      </c>
      <c r="T44" s="13" t="s">
        <v>374</v>
      </c>
      <c r="U44" s="13" t="s">
        <v>374</v>
      </c>
      <c r="V44" s="13" t="s">
        <v>352</v>
      </c>
      <c r="W44" s="13" t="s">
        <v>374</v>
      </c>
      <c r="X44" s="27" t="n">
        <f aca="false">WORKDAY.INTL(DATE(2026,10,5),7,11)</f>
        <v>46308</v>
      </c>
    </row>
    <row r="45" customFormat="false" ht="15" hidden="false" customHeight="false" outlineLevel="0" collapsed="false">
      <c r="A45" s="13" t="s">
        <v>382</v>
      </c>
      <c r="B45" s="13" t="s">
        <v>68</v>
      </c>
      <c r="C45" s="13" t="n">
        <v>2</v>
      </c>
      <c r="D45" s="13" t="s">
        <v>359</v>
      </c>
      <c r="E45" s="13" t="s">
        <v>361</v>
      </c>
      <c r="F45" s="13" t="s">
        <v>363</v>
      </c>
      <c r="G45" s="13" t="s">
        <v>365</v>
      </c>
      <c r="H45" s="13" t="s">
        <v>366</v>
      </c>
      <c r="I45" s="13" t="s">
        <v>368</v>
      </c>
      <c r="J45" s="13" t="s">
        <v>370</v>
      </c>
      <c r="K45" s="13" t="s">
        <v>372</v>
      </c>
      <c r="L45" s="13" t="s">
        <v>374</v>
      </c>
      <c r="M45" s="13" t="s">
        <v>374</v>
      </c>
      <c r="N45" s="13" t="s">
        <v>374</v>
      </c>
      <c r="O45" s="13" t="s">
        <v>374</v>
      </c>
      <c r="P45" s="13" t="s">
        <v>374</v>
      </c>
      <c r="Q45" s="13" t="s">
        <v>374</v>
      </c>
      <c r="R45" s="13" t="s">
        <v>374</v>
      </c>
      <c r="S45" s="13" t="s">
        <v>374</v>
      </c>
      <c r="T45" s="13" t="s">
        <v>374</v>
      </c>
      <c r="U45" s="13" t="s">
        <v>374</v>
      </c>
      <c r="V45" s="13" t="s">
        <v>352</v>
      </c>
      <c r="W45" s="13" t="s">
        <v>374</v>
      </c>
      <c r="X45" s="27" t="n">
        <f aca="false">WORKDAY.INTL(DATE(2026,10,5),7,11)</f>
        <v>46308</v>
      </c>
    </row>
    <row r="46" customFormat="false" ht="15" hidden="false" customHeight="false" outlineLevel="0" collapsed="false">
      <c r="A46" s="13" t="s">
        <v>387</v>
      </c>
      <c r="B46" s="13" t="s">
        <v>68</v>
      </c>
      <c r="C46" s="13" t="n">
        <v>1</v>
      </c>
      <c r="D46" s="13" t="s">
        <v>359</v>
      </c>
      <c r="E46" s="13" t="s">
        <v>361</v>
      </c>
      <c r="F46" s="13" t="s">
        <v>363</v>
      </c>
      <c r="G46" s="13" t="s">
        <v>365</v>
      </c>
      <c r="H46" s="13" t="s">
        <v>366</v>
      </c>
      <c r="I46" s="13" t="s">
        <v>368</v>
      </c>
      <c r="J46" s="13" t="s">
        <v>370</v>
      </c>
      <c r="K46" s="13" t="s">
        <v>372</v>
      </c>
      <c r="L46" s="13" t="s">
        <v>374</v>
      </c>
      <c r="M46" s="13" t="s">
        <v>374</v>
      </c>
      <c r="N46" s="13" t="s">
        <v>374</v>
      </c>
      <c r="O46" s="13" t="s">
        <v>374</v>
      </c>
      <c r="P46" s="13" t="s">
        <v>374</v>
      </c>
      <c r="Q46" s="13" t="s">
        <v>374</v>
      </c>
      <c r="R46" s="13" t="s">
        <v>374</v>
      </c>
      <c r="S46" s="13" t="s">
        <v>374</v>
      </c>
      <c r="T46" s="13" t="s">
        <v>374</v>
      </c>
      <c r="U46" s="13" t="s">
        <v>374</v>
      </c>
      <c r="V46" s="13" t="s">
        <v>352</v>
      </c>
      <c r="W46" s="13" t="s">
        <v>374</v>
      </c>
      <c r="X46" s="27" t="n">
        <f aca="false">WORKDAY.INTL(DATE(2026,10,5),7,11)</f>
        <v>46308</v>
      </c>
    </row>
    <row r="47" customFormat="false" ht="15" hidden="false" customHeight="false" outlineLevel="0" collapsed="false">
      <c r="A47" s="13" t="s">
        <v>381</v>
      </c>
      <c r="B47" s="13" t="s">
        <v>72</v>
      </c>
      <c r="C47" s="13" t="n">
        <v>3</v>
      </c>
      <c r="D47" s="13" t="s">
        <v>357</v>
      </c>
      <c r="E47" s="13" t="s">
        <v>359</v>
      </c>
      <c r="F47" s="13" t="s">
        <v>361</v>
      </c>
      <c r="G47" s="13" t="s">
        <v>363</v>
      </c>
      <c r="H47" s="13" t="s">
        <v>365</v>
      </c>
      <c r="I47" s="13" t="s">
        <v>366</v>
      </c>
      <c r="J47" s="13" t="s">
        <v>368</v>
      </c>
      <c r="K47" s="13" t="s">
        <v>370</v>
      </c>
      <c r="L47" s="13" t="s">
        <v>372</v>
      </c>
      <c r="M47" s="13" t="s">
        <v>374</v>
      </c>
      <c r="N47" s="13" t="s">
        <v>374</v>
      </c>
      <c r="O47" s="13" t="s">
        <v>374</v>
      </c>
      <c r="P47" s="13" t="s">
        <v>374</v>
      </c>
      <c r="Q47" s="13" t="s">
        <v>374</v>
      </c>
      <c r="R47" s="13" t="s">
        <v>374</v>
      </c>
      <c r="S47" s="13" t="s">
        <v>374</v>
      </c>
      <c r="T47" s="13" t="s">
        <v>374</v>
      </c>
      <c r="U47" s="13" t="s">
        <v>374</v>
      </c>
      <c r="V47" s="13" t="s">
        <v>352</v>
      </c>
      <c r="W47" s="13" t="s">
        <v>374</v>
      </c>
      <c r="X47" s="27" t="n">
        <f aca="false">WORKDAY.INTL(DATE(2026,10,5),8,11)</f>
        <v>46309</v>
      </c>
    </row>
    <row r="48" customFormat="false" ht="15" hidden="false" customHeight="false" outlineLevel="0" collapsed="false">
      <c r="A48" s="13" t="s">
        <v>383</v>
      </c>
      <c r="B48" s="13" t="s">
        <v>72</v>
      </c>
      <c r="C48" s="13" t="n">
        <v>1</v>
      </c>
      <c r="D48" s="13" t="s">
        <v>357</v>
      </c>
      <c r="E48" s="13" t="s">
        <v>359</v>
      </c>
      <c r="F48" s="13" t="s">
        <v>361</v>
      </c>
      <c r="G48" s="13" t="s">
        <v>363</v>
      </c>
      <c r="H48" s="13" t="s">
        <v>365</v>
      </c>
      <c r="I48" s="13" t="s">
        <v>366</v>
      </c>
      <c r="J48" s="13" t="s">
        <v>368</v>
      </c>
      <c r="K48" s="13" t="s">
        <v>370</v>
      </c>
      <c r="L48" s="13" t="s">
        <v>372</v>
      </c>
      <c r="M48" s="13" t="s">
        <v>374</v>
      </c>
      <c r="N48" s="13" t="s">
        <v>374</v>
      </c>
      <c r="O48" s="13" t="s">
        <v>374</v>
      </c>
      <c r="P48" s="13" t="s">
        <v>374</v>
      </c>
      <c r="Q48" s="13" t="s">
        <v>374</v>
      </c>
      <c r="R48" s="13" t="s">
        <v>374</v>
      </c>
      <c r="S48" s="13" t="s">
        <v>374</v>
      </c>
      <c r="T48" s="13" t="s">
        <v>374</v>
      </c>
      <c r="U48" s="13" t="s">
        <v>374</v>
      </c>
      <c r="V48" s="13" t="s">
        <v>352</v>
      </c>
      <c r="W48" s="13" t="s">
        <v>374</v>
      </c>
      <c r="X48" s="27" t="n">
        <f aca="false">WORKDAY.INTL(DATE(2026,10,5),8,11)</f>
        <v>46309</v>
      </c>
    </row>
    <row r="50" customFormat="false" ht="15" hidden="false" customHeight="false" outlineLevel="0" collapsed="false">
      <c r="A50" s="20" t="s">
        <v>388</v>
      </c>
    </row>
    <row r="51" customFormat="false" ht="15" hidden="false" customHeight="false" outlineLevel="0" collapsed="false">
      <c r="A51" s="20" t="s">
        <v>389</v>
      </c>
    </row>
    <row r="52" customFormat="false" ht="15" hidden="false" customHeight="false" outlineLevel="0" collapsed="false">
      <c r="A52" s="20" t="s">
        <v>390</v>
      </c>
    </row>
    <row r="53" customFormat="false" ht="15" hidden="false" customHeight="false" outlineLevel="0" collapsed="false">
      <c r="A53" s="20" t="s">
        <v>391</v>
      </c>
    </row>
    <row r="54" customFormat="false" ht="15" hidden="false" customHeight="false" outlineLevel="0" collapsed="false">
      <c r="A54" s="20" t="s">
        <v>392</v>
      </c>
    </row>
    <row r="55" customFormat="false" ht="15" hidden="false" customHeight="false" outlineLevel="0" collapsed="false">
      <c r="A55" s="20" t="s">
        <v>393</v>
      </c>
    </row>
    <row r="56" customFormat="false" ht="15" hidden="false" customHeight="false" outlineLevel="0" collapsed="false">
      <c r="A56" s="20" t="s">
        <v>394</v>
      </c>
    </row>
    <row r="57" customFormat="false" ht="15" hidden="false" customHeight="false" outlineLevel="0" collapsed="false">
      <c r="A57" s="20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396</v>
      </c>
    </row>
    <row r="3" customFormat="false" ht="31.5" hidden="false" customHeight="true" outlineLevel="0" collapsed="false">
      <c r="A3" s="2" t="s">
        <v>328</v>
      </c>
      <c r="B3" s="2" t="s">
        <v>329</v>
      </c>
      <c r="C3" s="2" t="s">
        <v>16</v>
      </c>
      <c r="D3" s="2" t="s">
        <v>397</v>
      </c>
      <c r="E3" s="2" t="s">
        <v>353</v>
      </c>
      <c r="F3" s="2" t="s">
        <v>354</v>
      </c>
      <c r="G3" s="2" t="s">
        <v>356</v>
      </c>
      <c r="H3" s="2" t="s">
        <v>357</v>
      </c>
      <c r="I3" s="2" t="s">
        <v>359</v>
      </c>
      <c r="J3" s="2" t="s">
        <v>361</v>
      </c>
      <c r="K3" s="2" t="s">
        <v>363</v>
      </c>
      <c r="L3" s="2" t="s">
        <v>365</v>
      </c>
      <c r="M3" s="2" t="s">
        <v>366</v>
      </c>
      <c r="N3" s="2" t="s">
        <v>368</v>
      </c>
      <c r="O3" s="2" t="s">
        <v>370</v>
      </c>
      <c r="P3" s="2" t="s">
        <v>372</v>
      </c>
    </row>
    <row r="4" customFormat="false" ht="15" hidden="false" customHeight="false" outlineLevel="0" collapsed="false">
      <c r="A4" s="3" t="s">
        <v>379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378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378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378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377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377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376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376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375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375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373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373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371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371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371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369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367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364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362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362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360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360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358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358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358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29" customFormat="false" ht="15" hidden="false" customHeight="false" outlineLevel="0" collapsed="false">
      <c r="A29" s="3" t="s">
        <v>355</v>
      </c>
      <c r="B29" s="3" t="s">
        <v>72</v>
      </c>
      <c r="C29" s="3" t="n">
        <v>3</v>
      </c>
      <c r="D29" s="28" t="n">
        <f aca="false">DATE(2026,10,22)</f>
        <v>46317</v>
      </c>
      <c r="E29" s="28" t="n">
        <f aca="false">WORKDAY.INTL(D29,1,11)</f>
        <v>46318</v>
      </c>
      <c r="F29" s="28" t="n">
        <f aca="false">WORKDAY.INTL(E29,1,11)</f>
        <v>46319</v>
      </c>
      <c r="G29" s="28" t="n">
        <f aca="false">WORKDAY.INTL(F29,1,11)</f>
        <v>46321</v>
      </c>
      <c r="H29" s="28" t="n">
        <f aca="false">WORKDAY.INTL(G29,1,11)</f>
        <v>46322</v>
      </c>
      <c r="I29" s="28" t="n">
        <f aca="false">WORKDAY.INTL(H29,1,11)</f>
        <v>46323</v>
      </c>
      <c r="J29" s="28" t="n">
        <f aca="false">WORKDAY.INTL(I29,1,11)</f>
        <v>46324</v>
      </c>
      <c r="K29" s="28" t="n">
        <f aca="false">WORKDAY.INTL(J29,1,11)</f>
        <v>46325</v>
      </c>
      <c r="L29" s="28" t="n">
        <f aca="false">WORKDAY.INTL(K29,1,11)</f>
        <v>46326</v>
      </c>
      <c r="M29" s="28" t="n">
        <f aca="false">WORKDAY.INTL(L29,1,11)</f>
        <v>46328</v>
      </c>
      <c r="N29" s="28" t="n">
        <f aca="false">WORKDAY.INTL(M29,1,11)</f>
        <v>46329</v>
      </c>
      <c r="O29" s="28" t="n">
        <f aca="false">WORKDAY.INTL(N29,1,11)</f>
        <v>46330</v>
      </c>
      <c r="P29" s="28" t="n">
        <f aca="false">WORKDAY.INTL(O29,1,11)</f>
        <v>46331</v>
      </c>
    </row>
    <row r="30" customFormat="false" ht="15" hidden="false" customHeight="false" outlineLevel="0" collapsed="false">
      <c r="A30" s="3" t="s">
        <v>355</v>
      </c>
      <c r="B30" s="3" t="s">
        <v>25</v>
      </c>
      <c r="C30" s="3" t="n">
        <v>1</v>
      </c>
      <c r="D30" s="28" t="n">
        <f aca="false">DATE(2026,10,22)</f>
        <v>46317</v>
      </c>
      <c r="E30" s="28" t="n">
        <f aca="false">WORKDAY.INTL(D30,1,11)</f>
        <v>46318</v>
      </c>
      <c r="F30" s="28" t="n">
        <f aca="false">WORKDAY.INTL(E30,1,11)</f>
        <v>46319</v>
      </c>
      <c r="G30" s="28" t="n">
        <f aca="false">WORKDAY.INTL(F30,1,11)</f>
        <v>46321</v>
      </c>
      <c r="H30" s="28" t="n">
        <f aca="false">WORKDAY.INTL(G30,1,11)</f>
        <v>46322</v>
      </c>
      <c r="I30" s="28" t="n">
        <f aca="false">WORKDAY.INTL(H30,1,11)</f>
        <v>46323</v>
      </c>
      <c r="J30" s="28" t="n">
        <f aca="false">WORKDAY.INTL(I30,1,11)</f>
        <v>46324</v>
      </c>
      <c r="K30" s="28" t="n">
        <f aca="false">WORKDAY.INTL(J30,1,11)</f>
        <v>46325</v>
      </c>
      <c r="L30" s="28" t="n">
        <f aca="false">WORKDAY.INTL(K30,1,11)</f>
        <v>46326</v>
      </c>
      <c r="M30" s="28" t="n">
        <f aca="false">WORKDAY.INTL(L30,1,11)</f>
        <v>46328</v>
      </c>
      <c r="N30" s="28" t="n">
        <f aca="false">WORKDAY.INTL(M30,1,11)</f>
        <v>46329</v>
      </c>
      <c r="O30" s="28" t="n">
        <f aca="false">WORKDAY.INTL(N30,1,11)</f>
        <v>46330</v>
      </c>
      <c r="P30" s="28" t="n">
        <f aca="false">WORKDAY.INTL(O30,1,11)</f>
        <v>46331</v>
      </c>
    </row>
    <row r="31" customFormat="false" ht="15" hidden="false" customHeight="false" outlineLevel="0" collapsed="false">
      <c r="A31" s="3" t="s">
        <v>355</v>
      </c>
      <c r="B31" s="3" t="s">
        <v>28</v>
      </c>
      <c r="C31" s="3" t="n">
        <v>2</v>
      </c>
      <c r="D31" s="28" t="n">
        <f aca="false">DATE(2026,10,22)</f>
        <v>46317</v>
      </c>
      <c r="E31" s="28" t="n">
        <f aca="false">WORKDAY.INTL(D31,1,11)</f>
        <v>46318</v>
      </c>
      <c r="F31" s="28" t="n">
        <f aca="false">WORKDAY.INTL(E31,1,11)</f>
        <v>46319</v>
      </c>
      <c r="G31" s="28" t="n">
        <f aca="false">WORKDAY.INTL(F31,1,11)</f>
        <v>46321</v>
      </c>
      <c r="H31" s="28" t="n">
        <f aca="false">WORKDAY.INTL(G31,1,11)</f>
        <v>46322</v>
      </c>
      <c r="I31" s="28" t="n">
        <f aca="false">WORKDAY.INTL(H31,1,11)</f>
        <v>46323</v>
      </c>
      <c r="J31" s="28" t="n">
        <f aca="false">WORKDAY.INTL(I31,1,11)</f>
        <v>46324</v>
      </c>
      <c r="K31" s="28" t="n">
        <f aca="false">WORKDAY.INTL(J31,1,11)</f>
        <v>46325</v>
      </c>
      <c r="L31" s="28" t="n">
        <f aca="false">WORKDAY.INTL(K31,1,11)</f>
        <v>46326</v>
      </c>
      <c r="M31" s="28" t="n">
        <f aca="false">WORKDAY.INTL(L31,1,11)</f>
        <v>46328</v>
      </c>
      <c r="N31" s="28" t="n">
        <f aca="false">WORKDAY.INTL(M31,1,11)</f>
        <v>46329</v>
      </c>
      <c r="O31" s="28" t="n">
        <f aca="false">WORKDAY.INTL(N31,1,11)</f>
        <v>46330</v>
      </c>
      <c r="P31" s="28" t="n">
        <f aca="false">WORKDAY.INTL(O31,1,11)</f>
        <v>46331</v>
      </c>
    </row>
    <row r="32" customFormat="false" ht="15" hidden="false" customHeight="false" outlineLevel="0" collapsed="false">
      <c r="A32" s="3" t="s">
        <v>351</v>
      </c>
      <c r="B32" s="3" t="s">
        <v>72</v>
      </c>
      <c r="C32" s="3" t="n">
        <v>1</v>
      </c>
      <c r="D32" s="28" t="n">
        <f aca="false">DATE(2026,10,23)</f>
        <v>46318</v>
      </c>
      <c r="E32" s="28" t="n">
        <f aca="false">WORKDAY.INTL(D32,1,11)</f>
        <v>46319</v>
      </c>
      <c r="F32" s="28" t="n">
        <f aca="false">WORKDAY.INTL(E32,1,11)</f>
        <v>46321</v>
      </c>
      <c r="G32" s="28" t="n">
        <f aca="false">WORKDAY.INTL(F32,1,11)</f>
        <v>46322</v>
      </c>
      <c r="H32" s="28" t="n">
        <f aca="false">WORKDAY.INTL(G32,1,11)</f>
        <v>46323</v>
      </c>
      <c r="I32" s="28" t="n">
        <f aca="false">WORKDAY.INTL(H32,1,11)</f>
        <v>46324</v>
      </c>
      <c r="J32" s="28" t="n">
        <f aca="false">WORKDAY.INTL(I32,1,11)</f>
        <v>46325</v>
      </c>
      <c r="K32" s="28" t="n">
        <f aca="false">WORKDAY.INTL(J32,1,11)</f>
        <v>46326</v>
      </c>
      <c r="L32" s="28" t="n">
        <f aca="false">WORKDAY.INTL(K32,1,11)</f>
        <v>46328</v>
      </c>
      <c r="M32" s="28" t="n">
        <f aca="false">WORKDAY.INTL(L32,1,11)</f>
        <v>46329</v>
      </c>
      <c r="N32" s="28" t="n">
        <f aca="false">WORKDAY.INTL(M32,1,11)</f>
        <v>46330</v>
      </c>
      <c r="O32" s="28" t="n">
        <f aca="false">WORKDAY.INTL(N32,1,11)</f>
        <v>46331</v>
      </c>
      <c r="P32" s="28" t="n">
        <f aca="false">WORKDAY.INTL(O32,1,11)</f>
        <v>46332</v>
      </c>
    </row>
    <row r="34" customFormat="false" ht="15" hidden="false" customHeight="false" outlineLevel="0" collapsed="false">
      <c r="A34" s="20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2026-10-27T06:52:11Z</dcterms:created>
  <dc:creator>openpyxl</dc:creator>
  <dc:description/>
  <dc:language>en-US</dc:language>
  <cp:lastModifiedBy/>
  <dcterms:modified xsi:type="dcterms:W3CDTF">2026-10-27T06:52:13Z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