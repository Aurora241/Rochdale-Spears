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Loss time 19-10" sheetId="13" state="visible" r:id="rId15"/>
    <sheet name="Loss time 20-10" sheetId="14" state="visible" r:id="rId16"/>
    <sheet name="Tổng hợp" sheetId="15" state="visible" r:id="rId17"/>
    <sheet name="Nhân viên mới - A2" sheetId="16" state="visible" r:id="rId18"/>
    <sheet name="Lịch A2 nhân viên mới" sheetId="17" state="visible" r:id="rId19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09-10'!$A$2:$Q$46</definedName>
    <definedName function="false" hidden="true" localSheetId="5" name="_xlnm._FilterDatabase" vbProcedure="false">'Loss time 10-10'!$A$2:$Q$46</definedName>
    <definedName function="false" hidden="true" localSheetId="6" name="_xlnm._FilterDatabase" vbProcedure="false">'Loss time 12-10'!$A$2:$Q$48</definedName>
    <definedName function="false" hidden="true" localSheetId="7" name="_xlnm._FilterDatabase" vbProcedure="false">'Loss time 13-10'!$A$2:$Q$50</definedName>
    <definedName function="false" hidden="true" localSheetId="8" name="_xlnm._FilterDatabase" vbProcedure="false">'Loss time 14-10'!$A$2:$Q$40</definedName>
    <definedName function="false" hidden="true" localSheetId="9" name="_xlnm._FilterDatabase" vbProcedure="false">'Loss time 15-10'!$A$2:$Q$39</definedName>
    <definedName function="false" hidden="true" localSheetId="10" name="_xlnm._FilterDatabase" vbProcedure="false">'Loss time 16-10'!$A$2:$Q$40</definedName>
    <definedName function="false" hidden="true" localSheetId="11" name="_xlnm._FilterDatabase" vbProcedure="false">'Loss time 17-10'!$A$2:$Q$40</definedName>
    <definedName function="false" hidden="true" localSheetId="12" name="_xlnm._FilterDatabase" vbProcedure="false">'Loss time 19-10'!$A$2:$Q$40</definedName>
    <definedName function="false" hidden="true" localSheetId="13" name="_xlnm._FilterDatabase" vbProcedure="false">'Loss time 20-10'!$A$2:$Q$39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<sst xmlns="http://schemas.openxmlformats.org/spreadsheetml/2006/main" count="4513" uniqueCount="312">
  <si>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</si>
  <si>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</si>
  <si>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</si>
  <si>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</si>
  <si>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</si>
  <si>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</si>
  <si>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</si>
  <si>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</si>
  <si>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</si>
  <si>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</si>
  <si>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</si>
  <si>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</si>
  <si>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</si>
  <si>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</si>
  <si>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</si>
  <si>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</si>
  <si>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</si>
  <si>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</si>
  <si>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</si>
  <si>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</si>
  <si>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</si>
  <si>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</si>
  <si>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</si>
  <si>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</si>
  <si>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</si>
  <si>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</si>
  <si>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</si>
  <si>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</si>
  <si>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</si>
  <si>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</si>
  <si>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</si>
  <si>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</si>
  <si>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</si>
  <si>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</si>
  <si>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</si>
  <si>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</si>
  <si>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</si>
  <si>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</si>
  <si>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</si>
  <si>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</si>
  <si>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</si>
  <si>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</si>
  <si>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</si>
  <si>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</si>
  <si>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</si>
  <si>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</si>
  <si>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</si>
  <si>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</si>
  <si>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</si>
  <si>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</si>
  <si>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</si>
  <si>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</si>
  <si>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</si>
  <si>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</si>
  <si>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</si>
  <si>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</si>
  <si>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</si>
  <si>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</si>
  <si>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</si>
  <si>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</si>
  <si>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</si>
  <si>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</si>
  <si>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</si>
  <si>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</si>
  <si>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</si>
  <si>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</si>
  <si>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</si>
  <si>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</si>
  <si>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</si>
  <si>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</si>
  <si>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</si>
  <si>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</si>
  <si>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</si>
  <si>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</si>
  <si>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</si>
  <si>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</si>
  <si>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</si>
  <si>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</si>
  <si>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</si>
  <si>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</si>
  <si>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</si>
  <si>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</si>
  <si>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</si>
  <si>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</si>
  <si>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</si>
  <si>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</si>
  <si>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</si>
  <si>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</si>
  <si>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</si>
  <si>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</si>
  <si>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</si>
  <si>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</si>
  <si>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</si>
  <si>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</si>
  <si>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</si>
  <si>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</si>
  <si>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</si>
  <si>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</si>
  <si>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</si>
  <si>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</si>
  <si>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</si>
  <si>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</si>
  <si>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</si>
  <si>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</si>
  <si>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</si>
  <si>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</si>
  <si>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</si>
  <si>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</si>
  <si>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</si>
  <si>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</si>
  <si>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</si>
  <si>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</si>
  <si>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</si>
  <si>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</si>
  <si>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</si>
  <si>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</si>
  <si>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</si>
  <si>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</si>
  <si>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</si>
  <si>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</si>
  <si>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</si>
  <si>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</si>
  <si>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</si>
  <si>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</si>
  <si>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</si>
  <si>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</si>
  <si>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</si>
  <si>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</si>
  <si>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</si>
  <si>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</si>
  <si>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</si>
  <si>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</si>
  <si>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</si>
  <si>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</si>
  <si>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</si>
  <si>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</si>
  <si>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</si>
  <si>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</si>
  <si>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</si>
  <si>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</si>
  <si>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</si>
  <si>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HC mới- 50% hiệu suất- 2 tuần-09/10</t>
  </si>
  <si>
    <t xml:space="preserve">A2 ngày 1/12 - nhóm 09/10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</si>
  <si>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</si>
  <si>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</si>
  <si>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</si>
  <si>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</si>
  <si>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</si>
  <si>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</si>
  <si>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</si>
  <si>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</si>
  <si>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</si>
  <si>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</si>
  <si>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</si>
  <si>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</si>
  <si>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A2 ngày 2/12 - nhóm 09/10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</si>
  <si>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</si>
  <si>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</si>
  <si>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</si>
  <si>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</si>
  <si>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</si>
  <si>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</si>
  <si>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</si>
  <si>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</si>
  <si>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</si>
  <si>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</si>
  <si>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</si>
  <si>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A2 ngày 3/12 - nhóm 09/10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</si>
  <si>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</si>
  <si>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</si>
  <si>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</si>
  <si>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</si>
  <si>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</si>
  <si>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</si>
  <si>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</si>
  <si>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4/12 - nhóm 09/10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</si>
  <si>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</si>
  <si>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</si>
  <si>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</si>
  <si>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</si>
  <si>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</si>
  <si>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</si>
  <si>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</si>
  <si>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</si>
  <si>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5/12 - nhóm 09/10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</si>
  <si>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</si>
  <si>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</si>
  <si>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</si>
  <si>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</si>
  <si>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</si>
  <si>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</si>
  <si>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</si>
  <si>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</si>
  <si>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</si>
  <si>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6/12 - nhóm 09/10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</si>
  <si>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</si>
  <si>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</si>
  <si>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</si>
  <si>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</si>
  <si>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</si>
  <si>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</si>
  <si>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</si>
  <si>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</si>
  <si>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</si>
  <si>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</si>
  <si>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7/12 - nhóm 09/10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</si>
  <si>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</si>
  <si>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</si>
  <si>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</si>
  <si>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</si>
  <si>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</si>
  <si>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</si>
  <si>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LOSS TIME WHITE WOOD - 19/10/2026</t>
  </si>
  <si>
    <t xml:space="preserve">A2 ngày 12/12 - nhóm 05/10</t>
  </si>
  <si>
    <t xml:space="preserve">A2 ngày 11/12 - nhóm 06/10</t>
  </si>
  <si>
    <t xml:space="preserve">A2 ngày 10/12 - nhóm 07/10</t>
  </si>
  <si>
    <t xml:space="preserve">A2 ngày 9/12 - nhóm 08/10</t>
  </si>
  <si>
    <t xml:space="preserve">A2 ngày 8/12 - nhóm 09/10</t>
  </si>
  <si>
    <t xml:space="preserve">A2 ngày 6/12 - nhóm 12/10</t>
  </si>
  <si>
    <t xml:space="preserve">A2 ngày 5/12 - nhóm 13/10</t>
  </si>
  <si>
    <t xml:space="preserve">A2 ngày 4/12 - nhóm 14/10</t>
  </si>
  <si>
    <t xml:space="preserve">A2 ngày 3/12 - nhóm 15/10</t>
  </si>
  <si>
    <t xml:space="preserve">A2 ngày 2/12 - nhóm 16/10</t>
  </si>
  <si>
    <t xml:space="preserve">LOSS TIME WHITE WOOD - 20/10/2026</t>
  </si>
  <si>
    <t xml:space="preserve">A2 ngày 12/12 - nhóm 06/10</t>
  </si>
  <si>
    <t xml:space="preserve">A2 ngày 11/12 - nhóm 07/10</t>
  </si>
  <si>
    <t xml:space="preserve">A2 ngày 10/12 - nhóm 08/10</t>
  </si>
  <si>
    <t xml:space="preserve">A2 ngày 9/12 - nhóm 09/10</t>
  </si>
  <si>
    <t xml:space="preserve">A2 ngày 7/12 - nhóm 12/10</t>
  </si>
  <si>
    <t xml:space="preserve">A2 ngày 6/12 - nhóm 13/10</t>
  </si>
  <si>
    <t xml:space="preserve">A2 ngày 5/12 - nhóm 14/10</t>
  </si>
  <si>
    <t xml:space="preserve">A2 ngày 4/12 - nhóm 15/10</t>
  </si>
  <si>
    <t xml:space="preserve">A2 ngày 3/12 - nhóm 16/10</t>
  </si>
  <si>
    <t xml:space="preserve">TỔNG HỢP LOSS TIME LABOR (GIỜ CÔNG)</t>
  </si>
  <si>
    <t xml:space="preserve">Ngày 05/10/2026</t>
  </si>
  <si>
    <t xml:space="preserve">Tên</t>
  </si>
  <si>
    <t xml:space="preserve">Chưa rõ khu vực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</si>
  <si>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</si>
  <si>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</si>
  <si>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</si>
  <si>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</si>
  <si>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</si>
  <si>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</si>
  <si>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</si>
  <si>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</si>
  <si>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</si>
  <si>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</si>
  <si>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</si>
  <si>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Ngày 19/10/2026</t>
  </si>
  <si>
    <t xml:space="preserve">Ngày 20/10/2026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</si>
  <si>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</si>
  <si>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</si>
  <si>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</si>
  <si>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</si>
  <si>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</si>
  <si>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</si>
  <si>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</si>
  <si>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</si>
  <si>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</si>
  <si>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</si>
  <si>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</si>
  <si>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</si>
  <si>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</si>
  <si>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</si>
  <si>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</si>
  <si>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</si>
  <si>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Mã ngày 19/10</t>
  </si>
  <si>
    <t xml:space="preserve">Mã ngày 20/10</t>
  </si>
  <si>
    <t xml:space="preserve">Ngày cuối A2 (không tính CN)</t>
  </si>
  <si>
    <t xml:space="preserve">16/10</t>
  </si>
  <si>
    <t xml:space="preserve">-</t>
  </si>
  <si>
    <t xml:space="preserve">A2 ngày 1</t>
  </si>
  <si>
    <t xml:space="preserve">A2 ngày 2</t>
  </si>
  <si>
    <t xml:space="preserve">A2 ngày 3</t>
  </si>
  <si>
    <t xml:space="preserve">15/10</t>
  </si>
  <si>
    <t xml:space="preserve">A2 ngày 4</t>
  </si>
  <si>
    <t xml:space="preserve">14/10</t>
  </si>
  <si>
    <t xml:space="preserve">A2 ngày 5</t>
  </si>
  <si>
    <t xml:space="preserve">13/10</t>
  </si>
  <si>
    <t xml:space="preserve">A2 ngày 6</t>
  </si>
  <si>
    <t xml:space="preserve">12/10</t>
  </si>
  <si>
    <t xml:space="preserve">A2 ngày 7</t>
  </si>
  <si>
    <t xml:space="preserve">09/10</t>
  </si>
  <si>
    <t xml:space="preserve">A2 ngày 8</t>
  </si>
  <si>
    <t xml:space="preserve">A2 ngày 9</t>
  </si>
  <si>
    <t xml:space="preserve">08/10</t>
  </si>
  <si>
    <t xml:space="preserve">A2 ngày 10</t>
  </si>
  <si>
    <t xml:space="preserve">07/10</t>
  </si>
  <si>
    <t xml:space="preserve">A2 ngày 11</t>
  </si>
  <si>
    <t xml:space="preserve">06/10</t>
  </si>
  <si>
    <t xml:space="preserve">A2 ngày 12</t>
  </si>
  <si>
    <t xml:space="preserve">05/10</t>
  </si>
  <si>
    <t xml:space="preserve">Đã xong</t>
  </si>
  <si>
    <t xml:space="preserve">18/9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</si>
  <si>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</si>
  <si>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</si>
  <si>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</si>
  <si>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</si>
  <si>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</si>
  <si>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</si>
  <si>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</si>
  <si>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</si>
  <si>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</si>
  <si>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</si>
  <si>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</si>
  <si>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</si>
  <si>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có 8 nhân viên mới (Assembly 6, Raw Cutting Panel 2; lấy theo P22 đã nhập trên hệ thống), A2 bắt đầu từ 10/10. Ngày 10/10 chưa thấy có nhân viên mới (chờ xác nhận).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</si>
  <si>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(Assembly, theo dòng P22 đã nhập trên hệ thống), ngày 17/10, 19/10 và 20/10 không có nhân viên mới (người dùng báo). Thứ Bảy 17/10 không tăng ca (P26 và P20 Assembly 7:30-15:30). Thứ Hai 19/10 và Thứ Ba 20/10 ghi theo mẫu ngày thường có tăng ca đến 20:00 (cần xác nhận).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</si>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</sst>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46304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116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117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119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120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121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118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121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117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123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109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124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125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125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126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126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46304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128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46304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128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637.5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46305</v>
      </c>
      <c r="C45" s="13"/>
      <c r="D45" s="13"/>
      <c r="E45" s="13"/>
      <c r="F45" s="13"/>
      <c r="G45" s="13" t="s">
        <v>28</v>
      </c>
      <c r="H45" s="13" t="s">
        <v>52</v>
      </c>
      <c r="I45" s="15" t="s">
        <v>53</v>
      </c>
      <c r="J45" s="13" t="s">
        <v>50</v>
      </c>
      <c r="K45" s="15" t="s">
        <v>141</v>
      </c>
      <c r="L45" s="15" t="s">
        <v>142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6</v>
      </c>
      <c r="Q45" s="17" t="n">
        <f aca="false">P45*O45</f>
        <v>27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46305</v>
      </c>
      <c r="C46" s="13"/>
      <c r="D46" s="13"/>
      <c r="E46" s="13"/>
      <c r="F46" s="13"/>
      <c r="G46" s="13" t="s">
        <v>72</v>
      </c>
      <c r="H46" s="13" t="s">
        <v>52</v>
      </c>
      <c r="I46" s="15" t="s">
        <v>53</v>
      </c>
      <c r="J46" s="13" t="s">
        <v>50</v>
      </c>
      <c r="K46" s="15" t="s">
        <v>141</v>
      </c>
      <c r="L46" s="15" t="s">
        <v>142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2</v>
      </c>
      <c r="Q46" s="17" t="n">
        <f aca="false">P46*O46</f>
        <v>9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519.5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151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153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153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154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154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46307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155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46307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155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633.5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160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161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162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165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165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166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166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167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167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A49" s="13" t="str">
        <f aca="false">"W"&amp;WEEKNUM(B49,21)</f>
        <v>W42</v>
      </c>
      <c r="B49" s="14" t="n">
        <v>46308</v>
      </c>
      <c r="C49" s="13"/>
      <c r="D49" s="13"/>
      <c r="E49" s="13"/>
      <c r="F49" s="13"/>
      <c r="G49" s="13" t="s">
        <v>28</v>
      </c>
      <c r="H49" s="13" t="s">
        <v>52</v>
      </c>
      <c r="I49" s="15" t="s">
        <v>53</v>
      </c>
      <c r="J49" s="13" t="s">
        <v>50</v>
      </c>
      <c r="K49" s="15" t="s">
        <v>168</v>
      </c>
      <c r="L49" s="15" t="s">
        <v>169</v>
      </c>
      <c r="M49" s="16" t="n">
        <v>0.3125</v>
      </c>
      <c r="N49" s="16" t="n">
        <v>0.5</v>
      </c>
      <c r="O49" s="17" t="n">
        <f aca="false">(N49-M49)*24</f>
        <v>4.5</v>
      </c>
      <c r="P49" s="13" t="n">
        <v>2</v>
      </c>
      <c r="Q49" s="17" t="n">
        <f aca="false">P49*O49</f>
        <v>9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46308</v>
      </c>
      <c r="C50" s="13"/>
      <c r="D50" s="13"/>
      <c r="E50" s="13"/>
      <c r="F50" s="13"/>
      <c r="G50" s="13" t="s">
        <v>72</v>
      </c>
      <c r="H50" s="13" t="s">
        <v>52</v>
      </c>
      <c r="I50" s="15" t="s">
        <v>53</v>
      </c>
      <c r="J50" s="13" t="s">
        <v>50</v>
      </c>
      <c r="K50" s="15" t="s">
        <v>168</v>
      </c>
      <c r="L50" s="15" t="s">
        <v>169</v>
      </c>
      <c r="M50" s="16" t="n">
        <v>0.3125</v>
      </c>
      <c r="N50" s="16" t="n">
        <v>0.5</v>
      </c>
      <c r="O50" s="17" t="n">
        <f aca="false">(N50-M50)*24</f>
        <v>4.5</v>
      </c>
      <c r="P50" s="13" t="n">
        <v>1</v>
      </c>
      <c r="Q50" s="17" t="n">
        <f aca="false">P50*O50</f>
        <v>4.5</v>
      </c>
    </row>
    <row r="51" customFormat="false" ht="15" hidden="false" customHeight="false" outlineLevel="0" collapsed="false">
      <c r="P51" s="18" t="s">
        <v>75</v>
      </c>
      <c r="Q51" s="19" t="n">
        <f aca="false">SUM(Q3:Q50)</f>
        <v>665.5</v>
      </c>
    </row>
    <row r="53" customFormat="false" ht="15" hidden="false" customHeight="false" outlineLevel="0" collapsed="false">
      <c r="A53" s="20" t="s">
        <v>76</v>
      </c>
    </row>
  </sheetData>
  <autoFilter ref="A2:Q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171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172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172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173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173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175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6</v>
      </c>
      <c r="Q34" s="17" t="n">
        <f aca="false">P34*O34</f>
        <v>27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141</v>
      </c>
      <c r="L35" s="15" t="s">
        <v>175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176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168</v>
      </c>
      <c r="L37" s="15" t="s">
        <v>176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178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46309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178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46309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177</v>
      </c>
      <c r="L40" s="15" t="s">
        <v>178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523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184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185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185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186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186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46310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186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46310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188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533.5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190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191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192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193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194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194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195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195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196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197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199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527.5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200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201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202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202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202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203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203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204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204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205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206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207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207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208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209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46312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211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434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212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46314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213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46314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214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46314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214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46314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214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215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46314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215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46314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216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216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46314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46314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217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218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218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219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219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46314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219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46314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220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221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222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223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100</v>
      </c>
      <c r="L23" s="15" t="s">
        <v>224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46315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224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4</v>
      </c>
      <c r="Q24" s="17" t="n">
        <f aca="false">P24*O24</f>
        <v>18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46315</v>
      </c>
      <c r="C25" s="13"/>
      <c r="D25" s="13"/>
      <c r="E25" s="13"/>
      <c r="F25" s="13"/>
      <c r="G25" s="13" t="s">
        <v>25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224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113</v>
      </c>
      <c r="L26" s="15" t="s">
        <v>225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46315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225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46315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127</v>
      </c>
      <c r="L28" s="15" t="s">
        <v>226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226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46315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141</v>
      </c>
      <c r="L30" s="15" t="s">
        <v>227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46315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227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168</v>
      </c>
      <c r="L32" s="15" t="s">
        <v>228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228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229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229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46315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229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187</v>
      </c>
      <c r="L37" s="15" t="s">
        <v>230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198</v>
      </c>
      <c r="L38" s="15" t="s">
        <v>231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46315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210</v>
      </c>
      <c r="L39" s="15" t="s">
        <v>232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497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233</v>
      </c>
    </row>
    <row r="3" customFormat="false" ht="15" hidden="false" customHeight="false" outlineLevel="0" collapsed="false">
      <c r="A3" s="18" t="s">
        <v>234</v>
      </c>
    </row>
    <row r="4" customFormat="false" ht="25.35" hidden="false" customHeight="false" outlineLevel="0" collapsed="false">
      <c r="A4" s="2" t="s">
        <v>8</v>
      </c>
      <c r="B4" s="2" t="s">
        <v>235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236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237</v>
      </c>
    </row>
    <row r="13" customFormat="false" ht="25.35" hidden="false" customHeight="false" outlineLevel="0" collapsed="false">
      <c r="A13" s="2" t="s">
        <v>8</v>
      </c>
      <c r="B13" s="2" t="s">
        <v>235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236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238</v>
      </c>
    </row>
    <row r="22" customFormat="false" ht="25.35" hidden="false" customHeight="false" outlineLevel="0" collapsed="false">
      <c r="A22" s="2" t="s">
        <v>8</v>
      </c>
      <c r="B22" s="2" t="s">
        <v>235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236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239</v>
      </c>
    </row>
    <row r="31" customFormat="false" ht="25.35" hidden="false" customHeight="false" outlineLevel="0" collapsed="false">
      <c r="A31" s="2" t="s">
        <v>8</v>
      </c>
      <c r="B31" s="2" t="s">
        <v>235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236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240</v>
      </c>
    </row>
    <row r="40" customFormat="false" ht="25.35" hidden="false" customHeight="false" outlineLevel="0" collapsed="false">
      <c r="A40" s="2" t="s">
        <v>8</v>
      </c>
      <c r="B40" s="2" t="s">
        <v>235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236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09-10'!$Q$3:$Q$46,'Loss time 09-10'!$H$3:$H$46,$A41,'Loss time 09-10'!$G$3:$G$46,C$40)</f>
        <v>3.5</v>
      </c>
      <c r="D41" s="23" t="n">
        <f aca="false">SUMIFS('Loss time 09-10'!$Q$3:$Q$46,'Loss time 09-10'!$H$3:$H$46,$A41,'Loss time 09-10'!$G$3:$G$46,D$40)</f>
        <v>9</v>
      </c>
      <c r="E41" s="23" t="n">
        <f aca="false">SUMIFS('Loss time 09-10'!$Q$3:$Q$46,'Loss time 09-10'!$H$3:$H$46,$A41,'Loss time 09-10'!$G$3:$G$46,E$40)</f>
        <v>9.5</v>
      </c>
      <c r="F41" s="23" t="n">
        <f aca="false">SUMIFS('Loss time 09-10'!$Q$3:$Q$46,'Loss time 09-10'!$H$3:$H$46,$A41,'Loss time 09-10'!$G$3:$G$46,F$40)</f>
        <v>25</v>
      </c>
      <c r="G41" s="23" t="n">
        <f aca="false">SUMIFS('Loss time 09-10'!$Q$3:$Q$46,'Loss time 09-10'!$H$3:$H$46,$A41,'Loss time 09-10'!$G$3:$G$46,G$40)</f>
        <v>0</v>
      </c>
      <c r="H41" s="23" t="n">
        <f aca="false">SUMIFS('Loss time 09-10'!$Q$3:$Q$46,'Loss time 09-10'!$H$3:$H$46,$A41,'Loss time 09-10'!$G$3:$G$46,H$40)</f>
        <v>0</v>
      </c>
      <c r="I41" s="23" t="n">
        <f aca="false">SUMIFS('Loss time 09-10'!$Q$3:$Q$46,'Loss time 09-10'!$H$3:$H$46,$A41,'Loss time 09-10'!$G$3:$G$46,I$40)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09-10'!$Q$3:$Q$46,'Loss time 09-10'!$H$3:$H$46,$A42,'Loss time 09-10'!$G$3:$G$46,C$40)</f>
        <v>12.5</v>
      </c>
      <c r="D42" s="23" t="n">
        <f aca="false">SUMIFS('Loss time 09-10'!$Q$3:$Q$46,'Loss time 09-10'!$H$3:$H$46,$A42,'Loss time 09-10'!$G$3:$G$46,D$40)</f>
        <v>112.5</v>
      </c>
      <c r="E42" s="23" t="n">
        <f aca="false">SUMIFS('Loss time 09-10'!$Q$3:$Q$46,'Loss time 09-10'!$H$3:$H$46,$A42,'Loss time 09-10'!$G$3:$G$46,E$40)</f>
        <v>75</v>
      </c>
      <c r="F42" s="23" t="n">
        <f aca="false">SUMIFS('Loss time 09-10'!$Q$3:$Q$46,'Loss time 09-10'!$H$3:$H$46,$A42,'Loss time 09-10'!$G$3:$G$46,F$40)</f>
        <v>25</v>
      </c>
      <c r="G42" s="23" t="n">
        <f aca="false">SUMIFS('Loss time 09-10'!$Q$3:$Q$46,'Loss time 09-10'!$H$3:$H$46,$A42,'Loss time 09-10'!$G$3:$G$46,G$40)</f>
        <v>0</v>
      </c>
      <c r="H42" s="23" t="n">
        <f aca="false">SUMIFS('Loss time 09-10'!$Q$3:$Q$46,'Loss time 09-10'!$H$3:$H$46,$A42,'Loss time 09-10'!$G$3:$G$46,H$40)</f>
        <v>0</v>
      </c>
      <c r="I42" s="23" t="n">
        <f aca="false">SUMIFS('Loss time 09-10'!$Q$3:$Q$46,'Loss time 09-10'!$H$3:$H$46,$A42,'Loss time 09-10'!$G$3:$G$46,I$40)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09-10'!$Q$3:$Q$46,'Loss time 09-10'!$H$3:$H$46,$A43,'Loss time 09-10'!$G$3:$G$46,C$40)</f>
        <v>0</v>
      </c>
      <c r="D43" s="23" t="n">
        <f aca="false">SUMIFS('Loss time 09-10'!$Q$3:$Q$46,'Loss time 09-10'!$H$3:$H$46,$A43,'Loss time 09-10'!$G$3:$G$46,D$40)</f>
        <v>0</v>
      </c>
      <c r="E43" s="23" t="n">
        <f aca="false">SUMIFS('Loss time 09-10'!$Q$3:$Q$46,'Loss time 09-10'!$H$3:$H$46,$A43,'Loss time 09-10'!$G$3:$G$46,E$40)</f>
        <v>0</v>
      </c>
      <c r="F43" s="23" t="n">
        <f aca="false">SUMIFS('Loss time 09-10'!$Q$3:$Q$46,'Loss time 09-10'!$H$3:$H$46,$A43,'Loss time 09-10'!$G$3:$G$46,F$40)</f>
        <v>48</v>
      </c>
      <c r="G43" s="23" t="n">
        <f aca="false">SUMIFS('Loss time 09-10'!$Q$3:$Q$46,'Loss time 09-10'!$H$3:$H$46,$A43,'Loss time 09-10'!$G$3:$G$46,G$40)</f>
        <v>0</v>
      </c>
      <c r="H43" s="23" t="n">
        <f aca="false">SUMIFS('Loss time 09-10'!$Q$3:$Q$46,'Loss time 09-10'!$H$3:$H$46,$A43,'Loss time 09-10'!$G$3:$G$46,H$40)</f>
        <v>16</v>
      </c>
      <c r="I43" s="23" t="n">
        <f aca="false">SUMIFS('Loss time 09-10'!$Q$3:$Q$46,'Loss time 09-10'!$H$3:$H$46,$A43,'Loss time 09-10'!$G$3:$G$46,I$40)</f>
        <v>0</v>
      </c>
      <c r="J43" s="24" t="n">
        <f aca="false">SUM(C43:I43)</f>
        <v>64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09-10'!$Q$3:$Q$46,'Loss time 09-10'!$H$3:$H$46,$A44,'Loss time 09-10'!$G$3:$G$46,C$40)</f>
        <v>0</v>
      </c>
      <c r="D44" s="23" t="n">
        <f aca="false">SUMIFS('Loss time 09-10'!$Q$3:$Q$46,'Loss time 09-10'!$H$3:$H$46,$A44,'Loss time 09-10'!$G$3:$G$46,D$40)</f>
        <v>0</v>
      </c>
      <c r="E44" s="23" t="n">
        <f aca="false">SUMIFS('Loss time 09-10'!$Q$3:$Q$46,'Loss time 09-10'!$H$3:$H$46,$A44,'Loss time 09-10'!$G$3:$G$46,E$40)</f>
        <v>72</v>
      </c>
      <c r="F44" s="23" t="n">
        <f aca="false">SUMIFS('Loss time 09-10'!$Q$3:$Q$46,'Loss time 09-10'!$H$3:$H$46,$A44,'Loss time 09-10'!$G$3:$G$46,F$40)</f>
        <v>157.5</v>
      </c>
      <c r="G44" s="23" t="n">
        <f aca="false">SUMIFS('Loss time 09-10'!$Q$3:$Q$46,'Loss time 09-10'!$H$3:$H$46,$A44,'Loss time 09-10'!$G$3:$G$46,G$40)</f>
        <v>22.5</v>
      </c>
      <c r="H44" s="23" t="n">
        <f aca="false">SUMIFS('Loss time 09-10'!$Q$3:$Q$46,'Loss time 09-10'!$H$3:$H$46,$A44,'Loss time 09-10'!$G$3:$G$46,H$40)</f>
        <v>49.5</v>
      </c>
      <c r="I44" s="23" t="n">
        <f aca="false">SUMIFS('Loss time 09-10'!$Q$3:$Q$46,'Loss time 09-10'!$H$3:$H$46,$A44,'Loss time 09-10'!$G$3:$G$46,I$40)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255.5</v>
      </c>
      <c r="G45" s="24" t="n">
        <f aca="false">SUM(G41:G44)</f>
        <v>22.5</v>
      </c>
      <c r="H45" s="24" t="n">
        <f aca="false">SUM(H41:H44)</f>
        <v>65.5</v>
      </c>
      <c r="I45" s="24" t="n">
        <f aca="false">SUM(I41:I44)</f>
        <v>0</v>
      </c>
      <c r="J45" s="24" t="n">
        <f aca="false">SUM(J41:J44)</f>
        <v>637.5</v>
      </c>
    </row>
    <row r="48" customFormat="false" ht="15" hidden="false" customHeight="false" outlineLevel="0" collapsed="false">
      <c r="A48" s="18" t="s">
        <v>241</v>
      </c>
    </row>
    <row r="49" customFormat="false" ht="25.35" hidden="false" customHeight="false" outlineLevel="0" collapsed="false">
      <c r="A49" s="2" t="s">
        <v>8</v>
      </c>
      <c r="B49" s="2" t="s">
        <v>235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236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10-10'!$Q$3:$Q$46,'Loss time 10-10'!$H$3:$H$46,$A50,'Loss time 10-10'!$G$3:$G$46,C$49)</f>
        <v>3.5</v>
      </c>
      <c r="D50" s="23" t="n">
        <f aca="false">SUMIFS('Loss time 10-10'!$Q$3:$Q$46,'Loss time 10-10'!$H$3:$H$46,$A50,'Loss time 10-10'!$G$3:$G$46,D$49)</f>
        <v>9</v>
      </c>
      <c r="E50" s="23" t="n">
        <f aca="false">SUMIFS('Loss time 10-10'!$Q$3:$Q$46,'Loss time 10-10'!$H$3:$H$46,$A50,'Loss time 10-10'!$G$3:$G$46,E$49)</f>
        <v>9.5</v>
      </c>
      <c r="F50" s="23" t="n">
        <f aca="false">SUMIFS('Loss time 10-10'!$Q$3:$Q$46,'Loss time 10-10'!$H$3:$H$46,$A50,'Loss time 10-10'!$G$3:$G$46,F$49)</f>
        <v>16</v>
      </c>
      <c r="G50" s="23" t="n">
        <f aca="false">SUMIFS('Loss time 10-10'!$Q$3:$Q$46,'Loss time 10-10'!$H$3:$H$46,$A50,'Loss time 10-10'!$G$3:$G$46,G$49)</f>
        <v>0</v>
      </c>
      <c r="H50" s="23" t="n">
        <f aca="false">SUMIFS('Loss time 10-10'!$Q$3:$Q$46,'Loss time 10-10'!$H$3:$H$46,$A50,'Loss time 10-10'!$G$3:$G$46,H$49)</f>
        <v>0</v>
      </c>
      <c r="I50" s="23" t="n">
        <f aca="false">SUMIFS('Loss time 10-10'!$Q$3:$Q$46,'Loss time 10-10'!$H$3:$H$46,$A50,'Loss time 10-10'!$G$3:$G$46,I$49)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10-10'!$Q$3:$Q$46,'Loss time 10-10'!$H$3:$H$46,$A51,'Loss time 10-10'!$G$3:$G$46,C$49)</f>
        <v>8</v>
      </c>
      <c r="D51" s="23" t="n">
        <f aca="false">SUMIFS('Loss time 10-10'!$Q$3:$Q$46,'Loss time 10-10'!$H$3:$H$46,$A51,'Loss time 10-10'!$G$3:$G$46,D$49)</f>
        <v>72</v>
      </c>
      <c r="E51" s="23" t="n">
        <f aca="false">SUMIFS('Loss time 10-10'!$Q$3:$Q$46,'Loss time 10-10'!$H$3:$H$46,$A51,'Loss time 10-10'!$G$3:$G$46,E$49)</f>
        <v>48</v>
      </c>
      <c r="F51" s="23" t="n">
        <f aca="false">SUMIFS('Loss time 10-10'!$Q$3:$Q$46,'Loss time 10-10'!$H$3:$H$46,$A51,'Loss time 10-10'!$G$3:$G$46,F$49)</f>
        <v>16</v>
      </c>
      <c r="G51" s="23" t="n">
        <f aca="false">SUMIFS('Loss time 10-10'!$Q$3:$Q$46,'Loss time 10-10'!$H$3:$H$46,$A51,'Loss time 10-10'!$G$3:$G$46,G$49)</f>
        <v>0</v>
      </c>
      <c r="H51" s="23" t="n">
        <f aca="false">SUMIFS('Loss time 10-10'!$Q$3:$Q$46,'Loss time 10-10'!$H$3:$H$46,$A51,'Loss time 10-10'!$G$3:$G$46,H$49)</f>
        <v>0</v>
      </c>
      <c r="I51" s="23" t="n">
        <f aca="false">SUMIFS('Loss time 10-10'!$Q$3:$Q$46,'Loss time 10-10'!$H$3:$H$46,$A51,'Loss time 10-10'!$G$3:$G$46,I$49)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10-10'!$Q$3:$Q$46,'Loss time 10-10'!$H$3:$H$46,$A52,'Loss time 10-10'!$G$3:$G$46,C$49)</f>
        <v>0</v>
      </c>
      <c r="D52" s="23" t="n">
        <f aca="false">SUMIFS('Loss time 10-10'!$Q$3:$Q$46,'Loss time 10-10'!$H$3:$H$46,$A52,'Loss time 10-10'!$G$3:$G$46,D$49)</f>
        <v>0</v>
      </c>
      <c r="E52" s="23" t="n">
        <f aca="false">SUMIFS('Loss time 10-10'!$Q$3:$Q$46,'Loss time 10-10'!$H$3:$H$46,$A52,'Loss time 10-10'!$G$3:$G$46,E$49)</f>
        <v>0</v>
      </c>
      <c r="F52" s="23" t="n">
        <f aca="false">SUMIFS('Loss time 10-10'!$Q$3:$Q$46,'Loss time 10-10'!$H$3:$H$46,$A52,'Loss time 10-10'!$G$3:$G$46,F$49)</f>
        <v>0</v>
      </c>
      <c r="G52" s="23" t="n">
        <f aca="false">SUMIFS('Loss time 10-10'!$Q$3:$Q$46,'Loss time 10-10'!$H$3:$H$46,$A52,'Loss time 10-10'!$G$3:$G$46,G$49)</f>
        <v>0</v>
      </c>
      <c r="H52" s="23" t="n">
        <f aca="false">SUMIFS('Loss time 10-10'!$Q$3:$Q$46,'Loss time 10-10'!$H$3:$H$46,$A52,'Loss time 10-10'!$G$3:$G$46,H$49)</f>
        <v>0</v>
      </c>
      <c r="I52" s="23" t="n">
        <f aca="false">SUMIFS('Loss time 10-10'!$Q$3:$Q$46,'Loss time 10-10'!$H$3:$H$46,$A52,'Loss time 10-10'!$G$3:$G$46,I$49)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10-10'!$Q$3:$Q$46,'Loss time 10-10'!$H$3:$H$46,$A53,'Loss time 10-10'!$G$3:$G$46,C$49)</f>
        <v>0</v>
      </c>
      <c r="D53" s="23" t="n">
        <f aca="false">SUMIFS('Loss time 10-10'!$Q$3:$Q$46,'Loss time 10-10'!$H$3:$H$46,$A53,'Loss time 10-10'!$G$3:$G$46,D$49)</f>
        <v>0</v>
      </c>
      <c r="E53" s="23" t="n">
        <f aca="false">SUMIFS('Loss time 10-10'!$Q$3:$Q$46,'Loss time 10-10'!$H$3:$H$46,$A53,'Loss time 10-10'!$G$3:$G$46,E$49)</f>
        <v>72</v>
      </c>
      <c r="F53" s="23" t="n">
        <f aca="false">SUMIFS('Loss time 10-10'!$Q$3:$Q$46,'Loss time 10-10'!$H$3:$H$46,$A53,'Loss time 10-10'!$G$3:$G$46,F$49)</f>
        <v>184.5</v>
      </c>
      <c r="G53" s="23" t="n">
        <f aca="false">SUMIFS('Loss time 10-10'!$Q$3:$Q$46,'Loss time 10-10'!$H$3:$H$46,$A53,'Loss time 10-10'!$G$3:$G$46,G$49)</f>
        <v>22.5</v>
      </c>
      <c r="H53" s="23" t="n">
        <f aca="false">SUMIFS('Loss time 10-10'!$Q$3:$Q$46,'Loss time 10-10'!$H$3:$H$46,$A53,'Loss time 10-10'!$G$3:$G$46,H$49)</f>
        <v>58.5</v>
      </c>
      <c r="I53" s="23" t="n">
        <f aca="false">SUMIFS('Loss time 10-10'!$Q$3:$Q$46,'Loss time 10-10'!$H$3:$H$46,$A53,'Loss time 10-10'!$G$3:$G$46,I$49)</f>
        <v>0</v>
      </c>
      <c r="J53" s="24" t="n">
        <f aca="false">SUM(C53:I53)</f>
        <v>337.5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216.5</v>
      </c>
      <c r="G54" s="24" t="n">
        <f aca="false">SUM(G50:G53)</f>
        <v>22.5</v>
      </c>
      <c r="H54" s="24" t="n">
        <f aca="false">SUM(H50:H53)</f>
        <v>58.5</v>
      </c>
      <c r="I54" s="24" t="n">
        <f aca="false">SUM(I50:I53)</f>
        <v>0</v>
      </c>
      <c r="J54" s="24" t="n">
        <f aca="false">SUM(J50:J53)</f>
        <v>519.5</v>
      </c>
    </row>
    <row r="57" customFormat="false" ht="15" hidden="false" customHeight="false" outlineLevel="0" collapsed="false">
      <c r="A57" s="18" t="s">
        <v>242</v>
      </c>
    </row>
    <row r="58" customFormat="false" ht="25.35" hidden="false" customHeight="false" outlineLevel="0" collapsed="false">
      <c r="A58" s="2" t="s">
        <v>8</v>
      </c>
      <c r="B58" s="2" t="s">
        <v>235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236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12-10'!$Q$3:$Q$48,'Loss time 12-10'!$H$3:$H$48,$A59,'Loss time 12-10'!$G$3:$G$48,C$58)</f>
        <v>3.5</v>
      </c>
      <c r="D59" s="23" t="n">
        <f aca="false">SUMIFS('Loss time 12-10'!$Q$3:$Q$48,'Loss time 12-10'!$H$3:$H$48,$A59,'Loss time 12-10'!$G$3:$G$48,D$58)</f>
        <v>9</v>
      </c>
      <c r="E59" s="23" t="n">
        <f aca="false">SUMIFS('Loss time 12-10'!$Q$3:$Q$48,'Loss time 12-10'!$H$3:$H$48,$A59,'Loss time 12-10'!$G$3:$G$48,E$58)</f>
        <v>9.5</v>
      </c>
      <c r="F59" s="23" t="n">
        <f aca="false">SUMIFS('Loss time 12-10'!$Q$3:$Q$48,'Loss time 12-10'!$H$3:$H$48,$A59,'Loss time 12-10'!$G$3:$G$48,F$58)</f>
        <v>25</v>
      </c>
      <c r="G59" s="23" t="n">
        <f aca="false">SUMIFS('Loss time 12-10'!$Q$3:$Q$48,'Loss time 12-10'!$H$3:$H$48,$A59,'Loss time 12-10'!$G$3:$G$48,G$58)</f>
        <v>0</v>
      </c>
      <c r="H59" s="23" t="n">
        <f aca="false">SUMIFS('Loss time 12-10'!$Q$3:$Q$48,'Loss time 12-10'!$H$3:$H$48,$A59,'Loss time 12-10'!$G$3:$G$48,H$58)</f>
        <v>0</v>
      </c>
      <c r="I59" s="23" t="n">
        <f aca="false">SUMIFS('Loss time 12-10'!$Q$3:$Q$48,'Loss time 12-10'!$H$3:$H$48,$A59,'Loss time 12-10'!$G$3:$G$48,I$58)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12-10'!$Q$3:$Q$48,'Loss time 12-10'!$H$3:$H$48,$A60,'Loss time 12-10'!$G$3:$G$48,C$58)</f>
        <v>12.5</v>
      </c>
      <c r="D60" s="23" t="n">
        <f aca="false">SUMIFS('Loss time 12-10'!$Q$3:$Q$48,'Loss time 12-10'!$H$3:$H$48,$A60,'Loss time 12-10'!$G$3:$G$48,D$58)</f>
        <v>112.5</v>
      </c>
      <c r="E60" s="23" t="n">
        <f aca="false">SUMIFS('Loss time 12-10'!$Q$3:$Q$48,'Loss time 12-10'!$H$3:$H$48,$A60,'Loss time 12-10'!$G$3:$G$48,E$58)</f>
        <v>75</v>
      </c>
      <c r="F60" s="23" t="n">
        <f aca="false">SUMIFS('Loss time 12-10'!$Q$3:$Q$48,'Loss time 12-10'!$H$3:$H$48,$A60,'Loss time 12-10'!$G$3:$G$48,F$58)</f>
        <v>25</v>
      </c>
      <c r="G60" s="23" t="n">
        <f aca="false">SUMIFS('Loss time 12-10'!$Q$3:$Q$48,'Loss time 12-10'!$H$3:$H$48,$A60,'Loss time 12-10'!$G$3:$G$48,G$58)</f>
        <v>0</v>
      </c>
      <c r="H60" s="23" t="n">
        <f aca="false">SUMIFS('Loss time 12-10'!$Q$3:$Q$48,'Loss time 12-10'!$H$3:$H$48,$A60,'Loss time 12-10'!$G$3:$G$48,H$58)</f>
        <v>0</v>
      </c>
      <c r="I60" s="23" t="n">
        <f aca="false">SUMIFS('Loss time 12-10'!$Q$3:$Q$48,'Loss time 12-10'!$H$3:$H$48,$A60,'Loss time 12-10'!$G$3:$G$48,I$58)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12-10'!$Q$3:$Q$48,'Loss time 12-10'!$H$3:$H$48,$A61,'Loss time 12-10'!$G$3:$G$48,C$58)</f>
        <v>0</v>
      </c>
      <c r="D61" s="23" t="n">
        <f aca="false">SUMIFS('Loss time 12-10'!$Q$3:$Q$48,'Loss time 12-10'!$H$3:$H$48,$A61,'Loss time 12-10'!$G$3:$G$48,D$58)</f>
        <v>0</v>
      </c>
      <c r="E61" s="23" t="n">
        <f aca="false">SUMIFS('Loss time 12-10'!$Q$3:$Q$48,'Loss time 12-10'!$H$3:$H$48,$A61,'Loss time 12-10'!$G$3:$G$48,E$58)</f>
        <v>0</v>
      </c>
      <c r="F61" s="23" t="n">
        <f aca="false">SUMIFS('Loss time 12-10'!$Q$3:$Q$48,'Loss time 12-10'!$H$3:$H$48,$A61,'Loss time 12-10'!$G$3:$G$48,F$58)</f>
        <v>16</v>
      </c>
      <c r="G61" s="23" t="n">
        <f aca="false">SUMIFS('Loss time 12-10'!$Q$3:$Q$48,'Loss time 12-10'!$H$3:$H$48,$A61,'Loss time 12-10'!$G$3:$G$48,G$58)</f>
        <v>0</v>
      </c>
      <c r="H61" s="23" t="n">
        <f aca="false">SUMIFS('Loss time 12-10'!$Q$3:$Q$48,'Loss time 12-10'!$H$3:$H$48,$A61,'Loss time 12-10'!$G$3:$G$48,H$58)</f>
        <v>8</v>
      </c>
      <c r="I61" s="23" t="n">
        <f aca="false">SUMIFS('Loss time 12-10'!$Q$3:$Q$48,'Loss time 12-10'!$H$3:$H$48,$A61,'Loss time 12-10'!$G$3:$G$48,I$58)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12-10'!$Q$3:$Q$48,'Loss time 12-10'!$H$3:$H$48,$A62,'Loss time 12-10'!$G$3:$G$48,C$58)</f>
        <v>0</v>
      </c>
      <c r="D62" s="23" t="n">
        <f aca="false">SUMIFS('Loss time 12-10'!$Q$3:$Q$48,'Loss time 12-10'!$H$3:$H$48,$A62,'Loss time 12-10'!$G$3:$G$48,D$58)</f>
        <v>0</v>
      </c>
      <c r="E62" s="23" t="n">
        <f aca="false">SUMIFS('Loss time 12-10'!$Q$3:$Q$48,'Loss time 12-10'!$H$3:$H$48,$A62,'Loss time 12-10'!$G$3:$G$48,E$58)</f>
        <v>72</v>
      </c>
      <c r="F62" s="23" t="n">
        <f aca="false">SUMIFS('Loss time 12-10'!$Q$3:$Q$48,'Loss time 12-10'!$H$3:$H$48,$A62,'Loss time 12-10'!$G$3:$G$48,F$58)</f>
        <v>184.5</v>
      </c>
      <c r="G62" s="23" t="n">
        <f aca="false">SUMIFS('Loss time 12-10'!$Q$3:$Q$48,'Loss time 12-10'!$H$3:$H$48,$A62,'Loss time 12-10'!$G$3:$G$48,G$58)</f>
        <v>22.5</v>
      </c>
      <c r="H62" s="23" t="n">
        <f aca="false">SUMIFS('Loss time 12-10'!$Q$3:$Q$48,'Loss time 12-10'!$H$3:$H$48,$A62,'Loss time 12-10'!$G$3:$G$48,H$58)</f>
        <v>58.5</v>
      </c>
      <c r="I62" s="23" t="n">
        <f aca="false">SUMIFS('Loss time 12-10'!$Q$3:$Q$48,'Loss time 12-10'!$H$3:$H$48,$A62,'Loss time 12-10'!$G$3:$G$48,I$58)</f>
        <v>0</v>
      </c>
      <c r="J62" s="24" t="n">
        <f aca="false">SUM(C62:I62)</f>
        <v>337.5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250.5</v>
      </c>
      <c r="G63" s="24" t="n">
        <f aca="false">SUM(G59:G62)</f>
        <v>22.5</v>
      </c>
      <c r="H63" s="24" t="n">
        <f aca="false">SUM(H59:H62)</f>
        <v>66.5</v>
      </c>
      <c r="I63" s="24" t="n">
        <f aca="false">SUM(I59:I62)</f>
        <v>0</v>
      </c>
      <c r="J63" s="24" t="n">
        <f aca="false">SUM(J59:J62)</f>
        <v>633.5</v>
      </c>
    </row>
    <row r="66" customFormat="false" ht="15" hidden="false" customHeight="false" outlineLevel="0" collapsed="false">
      <c r="A66" s="18" t="s">
        <v>243</v>
      </c>
    </row>
    <row r="67" customFormat="false" ht="25.35" hidden="false" customHeight="false" outlineLevel="0" collapsed="false">
      <c r="A67" s="2" t="s">
        <v>8</v>
      </c>
      <c r="B67" s="2" t="s">
        <v>235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236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13-10'!$Q$3:$Q$50,'Loss time 13-10'!$H$3:$H$50,$A68,'Loss time 13-10'!$G$3:$G$50,C$67)</f>
        <v>3.5</v>
      </c>
      <c r="D68" s="23" t="n">
        <f aca="false">SUMIFS('Loss time 13-10'!$Q$3:$Q$50,'Loss time 13-10'!$H$3:$H$50,$A68,'Loss time 13-10'!$G$3:$G$50,D$67)</f>
        <v>9</v>
      </c>
      <c r="E68" s="23" t="n">
        <f aca="false">SUMIFS('Loss time 13-10'!$Q$3:$Q$50,'Loss time 13-10'!$H$3:$H$50,$A68,'Loss time 13-10'!$G$3:$G$50,E$67)</f>
        <v>9.5</v>
      </c>
      <c r="F68" s="23" t="n">
        <f aca="false">SUMIFS('Loss time 13-10'!$Q$3:$Q$50,'Loss time 13-10'!$H$3:$H$50,$A68,'Loss time 13-10'!$G$3:$G$50,F$67)</f>
        <v>25</v>
      </c>
      <c r="G68" s="23" t="n">
        <f aca="false">SUMIFS('Loss time 13-10'!$Q$3:$Q$50,'Loss time 13-10'!$H$3:$H$50,$A68,'Loss time 13-10'!$G$3:$G$50,G$67)</f>
        <v>0</v>
      </c>
      <c r="H68" s="23" t="n">
        <f aca="false">SUMIFS('Loss time 13-10'!$Q$3:$Q$50,'Loss time 13-10'!$H$3:$H$50,$A68,'Loss time 13-10'!$G$3:$G$50,H$67)</f>
        <v>0</v>
      </c>
      <c r="I68" s="23" t="n">
        <f aca="false">SUMIFS('Loss time 13-10'!$Q$3:$Q$50,'Loss time 13-10'!$H$3:$H$50,$A68,'Loss time 13-10'!$G$3:$G$50,I$67)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13-10'!$Q$3:$Q$50,'Loss time 13-10'!$H$3:$H$50,$A69,'Loss time 13-10'!$G$3:$G$50,C$67)</f>
        <v>12.5</v>
      </c>
      <c r="D69" s="23" t="n">
        <f aca="false">SUMIFS('Loss time 13-10'!$Q$3:$Q$50,'Loss time 13-10'!$H$3:$H$50,$A69,'Loss time 13-10'!$G$3:$G$50,D$67)</f>
        <v>112.5</v>
      </c>
      <c r="E69" s="23" t="n">
        <f aca="false">SUMIFS('Loss time 13-10'!$Q$3:$Q$50,'Loss time 13-10'!$H$3:$H$50,$A69,'Loss time 13-10'!$G$3:$G$50,E$67)</f>
        <v>75</v>
      </c>
      <c r="F69" s="23" t="n">
        <f aca="false">SUMIFS('Loss time 13-10'!$Q$3:$Q$50,'Loss time 13-10'!$H$3:$H$50,$A69,'Loss time 13-10'!$G$3:$G$50,F$67)</f>
        <v>25</v>
      </c>
      <c r="G69" s="23" t="n">
        <f aca="false">SUMIFS('Loss time 13-10'!$Q$3:$Q$50,'Loss time 13-10'!$H$3:$H$50,$A69,'Loss time 13-10'!$G$3:$G$50,G$67)</f>
        <v>0</v>
      </c>
      <c r="H69" s="23" t="n">
        <f aca="false">SUMIFS('Loss time 13-10'!$Q$3:$Q$50,'Loss time 13-10'!$H$3:$H$50,$A69,'Loss time 13-10'!$G$3:$G$50,H$67)</f>
        <v>0</v>
      </c>
      <c r="I69" s="23" t="n">
        <f aca="false">SUMIFS('Loss time 13-10'!$Q$3:$Q$50,'Loss time 13-10'!$H$3:$H$50,$A69,'Loss time 13-10'!$G$3:$G$50,I$67)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13-10'!$Q$3:$Q$50,'Loss time 13-10'!$H$3:$H$50,$A70,'Loss time 13-10'!$G$3:$G$50,C$67)</f>
        <v>0</v>
      </c>
      <c r="D70" s="23" t="n">
        <f aca="false">SUMIFS('Loss time 13-10'!$Q$3:$Q$50,'Loss time 13-10'!$H$3:$H$50,$A70,'Loss time 13-10'!$G$3:$G$50,D$67)</f>
        <v>0</v>
      </c>
      <c r="E70" s="23" t="n">
        <f aca="false">SUMIFS('Loss time 13-10'!$Q$3:$Q$50,'Loss time 13-10'!$H$3:$H$50,$A70,'Loss time 13-10'!$G$3:$G$50,E$67)</f>
        <v>8</v>
      </c>
      <c r="F70" s="23" t="n">
        <f aca="false">SUMIFS('Loss time 13-10'!$Q$3:$Q$50,'Loss time 13-10'!$H$3:$H$50,$A70,'Loss time 13-10'!$G$3:$G$50,F$67)</f>
        <v>16</v>
      </c>
      <c r="G70" s="23" t="n">
        <f aca="false">SUMIFS('Loss time 13-10'!$Q$3:$Q$50,'Loss time 13-10'!$H$3:$H$50,$A70,'Loss time 13-10'!$G$3:$G$50,G$67)</f>
        <v>0</v>
      </c>
      <c r="H70" s="23" t="n">
        <f aca="false">SUMIFS('Loss time 13-10'!$Q$3:$Q$50,'Loss time 13-10'!$H$3:$H$50,$A70,'Loss time 13-10'!$G$3:$G$50,H$67)</f>
        <v>32</v>
      </c>
      <c r="I70" s="23" t="n">
        <f aca="false">SUMIFS('Loss time 13-10'!$Q$3:$Q$50,'Loss time 13-10'!$H$3:$H$50,$A70,'Loss time 13-10'!$G$3:$G$50,I$67)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13-10'!$Q$3:$Q$50,'Loss time 13-10'!$H$3:$H$50,$A71,'Loss time 13-10'!$G$3:$G$50,C$67)</f>
        <v>0</v>
      </c>
      <c r="D71" s="23" t="n">
        <f aca="false">SUMIFS('Loss time 13-10'!$Q$3:$Q$50,'Loss time 13-10'!$H$3:$H$50,$A71,'Loss time 13-10'!$G$3:$G$50,D$67)</f>
        <v>0</v>
      </c>
      <c r="E71" s="23" t="n">
        <f aca="false">SUMIFS('Loss time 13-10'!$Q$3:$Q$50,'Loss time 13-10'!$H$3:$H$50,$A71,'Loss time 13-10'!$G$3:$G$50,E$67)</f>
        <v>72</v>
      </c>
      <c r="F71" s="23" t="n">
        <f aca="false">SUMIFS('Loss time 13-10'!$Q$3:$Q$50,'Loss time 13-10'!$H$3:$H$50,$A71,'Loss time 13-10'!$G$3:$G$50,F$67)</f>
        <v>180</v>
      </c>
      <c r="G71" s="23" t="n">
        <f aca="false">SUMIFS('Loss time 13-10'!$Q$3:$Q$50,'Loss time 13-10'!$H$3:$H$50,$A71,'Loss time 13-10'!$G$3:$G$50,G$67)</f>
        <v>22.5</v>
      </c>
      <c r="H71" s="23" t="n">
        <f aca="false">SUMIFS('Loss time 13-10'!$Q$3:$Q$50,'Loss time 13-10'!$H$3:$H$50,$A71,'Loss time 13-10'!$G$3:$G$50,H$67)</f>
        <v>63</v>
      </c>
      <c r="I71" s="23" t="n">
        <f aca="false">SUMIFS('Loss time 13-10'!$Q$3:$Q$50,'Loss time 13-10'!$H$3:$H$50,$A71,'Loss time 13-10'!$G$3:$G$50,I$67)</f>
        <v>0</v>
      </c>
      <c r="J71" s="24" t="n">
        <f aca="false">SUM(C71:I71)</f>
        <v>337.5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246</v>
      </c>
      <c r="G72" s="24" t="n">
        <f aca="false">SUM(G68:G71)</f>
        <v>22.5</v>
      </c>
      <c r="H72" s="24" t="n">
        <f aca="false">SUM(H68:H71)</f>
        <v>95</v>
      </c>
      <c r="I72" s="24" t="n">
        <f aca="false">SUM(I68:I71)</f>
        <v>0</v>
      </c>
      <c r="J72" s="24" t="n">
        <f aca="false">SUM(J68:J71)</f>
        <v>665.5</v>
      </c>
    </row>
    <row r="75" customFormat="false" ht="15" hidden="false" customHeight="false" outlineLevel="0" collapsed="false">
      <c r="A75" s="18" t="s">
        <v>244</v>
      </c>
    </row>
    <row r="76" customFormat="false" ht="25.35" hidden="false" customHeight="false" outlineLevel="0" collapsed="false">
      <c r="A76" s="2" t="s">
        <v>8</v>
      </c>
      <c r="B76" s="2" t="s">
        <v>235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236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14-10'!$Q$3:$Q$40,'Loss time 14-10'!$H$3:$H$40,$A77,'Loss time 14-10'!$G$3:$G$40,C$76)</f>
        <v>3.5</v>
      </c>
      <c r="D77" s="23" t="n">
        <f aca="false">SUMIFS('Loss time 14-10'!$Q$3:$Q$40,'Loss time 14-10'!$H$3:$H$40,$A77,'Loss time 14-10'!$G$3:$G$40,D$76)</f>
        <v>9</v>
      </c>
      <c r="E77" s="23" t="n">
        <f aca="false">SUMIFS('Loss time 14-10'!$Q$3:$Q$40,'Loss time 14-10'!$H$3:$H$40,$A77,'Loss time 14-10'!$G$3:$G$40,E$76)</f>
        <v>9.5</v>
      </c>
      <c r="F77" s="23" t="n">
        <f aca="false">SUMIFS('Loss time 14-10'!$Q$3:$Q$40,'Loss time 14-10'!$H$3:$H$40,$A77,'Loss time 14-10'!$G$3:$G$40,F$76)</f>
        <v>25</v>
      </c>
      <c r="G77" s="23" t="n">
        <f aca="false">SUMIFS('Loss time 14-10'!$Q$3:$Q$40,'Loss time 14-10'!$H$3:$H$40,$A77,'Loss time 14-10'!$G$3:$G$40,G$76)</f>
        <v>0</v>
      </c>
      <c r="H77" s="23" t="n">
        <f aca="false">SUMIFS('Loss time 14-10'!$Q$3:$Q$40,'Loss time 14-10'!$H$3:$H$40,$A77,'Loss time 14-10'!$G$3:$G$40,H$76)</f>
        <v>0</v>
      </c>
      <c r="I77" s="23" t="n">
        <f aca="false">SUMIFS('Loss time 14-10'!$Q$3:$Q$40,'Loss time 14-10'!$H$3:$H$40,$A77,'Loss time 14-10'!$G$3:$G$40,I$76)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14-10'!$Q$3:$Q$40,'Loss time 14-10'!$H$3:$H$40,$A78,'Loss time 14-10'!$G$3:$G$40,C$76)</f>
        <v>12.5</v>
      </c>
      <c r="D78" s="23" t="n">
        <f aca="false">SUMIFS('Loss time 14-10'!$Q$3:$Q$40,'Loss time 14-10'!$H$3:$H$40,$A78,'Loss time 14-10'!$G$3:$G$40,D$76)</f>
        <v>112.5</v>
      </c>
      <c r="E78" s="23" t="n">
        <f aca="false">SUMIFS('Loss time 14-10'!$Q$3:$Q$40,'Loss time 14-10'!$H$3:$H$40,$A78,'Loss time 14-10'!$G$3:$G$40,E$76)</f>
        <v>75</v>
      </c>
      <c r="F78" s="23" t="n">
        <f aca="false">SUMIFS('Loss time 14-10'!$Q$3:$Q$40,'Loss time 14-10'!$H$3:$H$40,$A78,'Loss time 14-10'!$G$3:$G$40,F$76)</f>
        <v>25</v>
      </c>
      <c r="G78" s="23" t="n">
        <f aca="false">SUMIFS('Loss time 14-10'!$Q$3:$Q$40,'Loss time 14-10'!$H$3:$H$40,$A78,'Loss time 14-10'!$G$3:$G$40,G$76)</f>
        <v>0</v>
      </c>
      <c r="H78" s="23" t="n">
        <f aca="false">SUMIFS('Loss time 14-10'!$Q$3:$Q$40,'Loss time 14-10'!$H$3:$H$40,$A78,'Loss time 14-10'!$G$3:$G$40,H$76)</f>
        <v>0</v>
      </c>
      <c r="I78" s="23" t="n">
        <f aca="false">SUMIFS('Loss time 14-10'!$Q$3:$Q$40,'Loss time 14-10'!$H$3:$H$40,$A78,'Loss time 14-10'!$G$3:$G$40,I$76)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14-10'!$Q$3:$Q$40,'Loss time 14-10'!$H$3:$H$40,$A79,'Loss time 14-10'!$G$3:$G$40,C$76)</f>
        <v>0</v>
      </c>
      <c r="D79" s="23" t="n">
        <f aca="false">SUMIFS('Loss time 14-10'!$Q$3:$Q$40,'Loss time 14-10'!$H$3:$H$40,$A79,'Loss time 14-10'!$G$3:$G$40,D$76)</f>
        <v>0</v>
      </c>
      <c r="E79" s="23" t="n">
        <f aca="false">SUMIFS('Loss time 14-10'!$Q$3:$Q$40,'Loss time 14-10'!$H$3:$H$40,$A79,'Loss time 14-10'!$G$3:$G$40,E$76)</f>
        <v>0</v>
      </c>
      <c r="F79" s="23" t="n">
        <f aca="false">SUMIFS('Loss time 14-10'!$Q$3:$Q$40,'Loss time 14-10'!$H$3:$H$40,$A79,'Loss time 14-10'!$G$3:$G$40,F$76)</f>
        <v>8</v>
      </c>
      <c r="G79" s="23" t="n">
        <f aca="false">SUMIFS('Loss time 14-10'!$Q$3:$Q$40,'Loss time 14-10'!$H$3:$H$40,$A79,'Loss time 14-10'!$G$3:$G$40,G$76)</f>
        <v>0</v>
      </c>
      <c r="H79" s="23" t="n">
        <f aca="false">SUMIFS('Loss time 14-10'!$Q$3:$Q$40,'Loss time 14-10'!$H$3:$H$40,$A79,'Loss time 14-10'!$G$3:$G$40,H$76)</f>
        <v>0</v>
      </c>
      <c r="I79" s="23" t="n">
        <f aca="false">SUMIFS('Loss time 14-10'!$Q$3:$Q$40,'Loss time 14-10'!$H$3:$H$40,$A79,'Loss time 14-10'!$G$3:$G$40,I$76)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14-10'!$Q$3:$Q$40,'Loss time 14-10'!$H$3:$H$40,$A80,'Loss time 14-10'!$G$3:$G$40,C$76)</f>
        <v>0</v>
      </c>
      <c r="D80" s="23" t="n">
        <f aca="false">SUMIFS('Loss time 14-10'!$Q$3:$Q$40,'Loss time 14-10'!$H$3:$H$40,$A80,'Loss time 14-10'!$G$3:$G$40,D$76)</f>
        <v>0</v>
      </c>
      <c r="E80" s="23" t="n">
        <f aca="false">SUMIFS('Loss time 14-10'!$Q$3:$Q$40,'Loss time 14-10'!$H$3:$H$40,$A80,'Loss time 14-10'!$G$3:$G$40,E$76)</f>
        <v>31.5</v>
      </c>
      <c r="F80" s="23" t="n">
        <f aca="false">SUMIFS('Loss time 14-10'!$Q$3:$Q$40,'Loss time 14-10'!$H$3:$H$40,$A80,'Loss time 14-10'!$G$3:$G$40,F$76)</f>
        <v>130.5</v>
      </c>
      <c r="G80" s="23" t="n">
        <f aca="false">SUMIFS('Loss time 14-10'!$Q$3:$Q$40,'Loss time 14-10'!$H$3:$H$40,$A80,'Loss time 14-10'!$G$3:$G$40,G$76)</f>
        <v>0</v>
      </c>
      <c r="H80" s="23" t="n">
        <f aca="false">SUMIFS('Loss time 14-10'!$Q$3:$Q$40,'Loss time 14-10'!$H$3:$H$40,$A80,'Loss time 14-10'!$G$3:$G$40,H$76)</f>
        <v>81</v>
      </c>
      <c r="I80" s="23" t="n">
        <f aca="false">SUMIFS('Loss time 14-10'!$Q$3:$Q$40,'Loss time 14-10'!$H$3:$H$40,$A80,'Loss time 14-10'!$G$3:$G$40,I$76)</f>
        <v>0</v>
      </c>
      <c r="J80" s="24" t="n">
        <f aca="false">SUM(C80:I80)</f>
        <v>243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188.5</v>
      </c>
      <c r="G81" s="24" t="n">
        <f aca="false">SUM(G77:G80)</f>
        <v>0</v>
      </c>
      <c r="H81" s="24" t="n">
        <f aca="false">SUM(H77:H80)</f>
        <v>81</v>
      </c>
      <c r="I81" s="24" t="n">
        <f aca="false">SUM(I77:I80)</f>
        <v>0</v>
      </c>
      <c r="J81" s="24" t="n">
        <f aca="false">SUM(J77:J80)</f>
        <v>523</v>
      </c>
    </row>
    <row r="84" customFormat="false" ht="15" hidden="false" customHeight="false" outlineLevel="0" collapsed="false">
      <c r="A84" s="18" t="s">
        <v>245</v>
      </c>
    </row>
    <row r="85" customFormat="false" ht="25.35" hidden="false" customHeight="false" outlineLevel="0" collapsed="false">
      <c r="A85" s="2" t="s">
        <v>8</v>
      </c>
      <c r="B85" s="2" t="s">
        <v>235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236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15-10'!$Q$3:$Q$39,'Loss time 15-10'!$H$3:$H$39,$A86,'Loss time 15-10'!$G$3:$G$39,C$85)</f>
        <v>3.5</v>
      </c>
      <c r="D86" s="23" t="n">
        <f aca="false">SUMIFS('Loss time 15-10'!$Q$3:$Q$39,'Loss time 15-10'!$H$3:$H$39,$A86,'Loss time 15-10'!$G$3:$G$39,D$85)</f>
        <v>9</v>
      </c>
      <c r="E86" s="23" t="n">
        <f aca="false">SUMIFS('Loss time 15-10'!$Q$3:$Q$39,'Loss time 15-10'!$H$3:$H$39,$A86,'Loss time 15-10'!$G$3:$G$39,E$85)</f>
        <v>9.5</v>
      </c>
      <c r="F86" s="23" t="n">
        <f aca="false">SUMIFS('Loss time 15-10'!$Q$3:$Q$39,'Loss time 15-10'!$H$3:$H$39,$A86,'Loss time 15-10'!$G$3:$G$39,F$85)</f>
        <v>25</v>
      </c>
      <c r="G86" s="23" t="n">
        <f aca="false">SUMIFS('Loss time 15-10'!$Q$3:$Q$39,'Loss time 15-10'!$H$3:$H$39,$A86,'Loss time 15-10'!$G$3:$G$39,G$85)</f>
        <v>0</v>
      </c>
      <c r="H86" s="23" t="n">
        <f aca="false">SUMIFS('Loss time 15-10'!$Q$3:$Q$39,'Loss time 15-10'!$H$3:$H$39,$A86,'Loss time 15-10'!$G$3:$G$39,H$85)</f>
        <v>0</v>
      </c>
      <c r="I86" s="23" t="n">
        <f aca="false">SUMIFS('Loss time 15-10'!$Q$3:$Q$39,'Loss time 15-10'!$H$3:$H$39,$A86,'Loss time 15-10'!$G$3:$G$39,I$85)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15-10'!$Q$3:$Q$39,'Loss time 15-10'!$H$3:$H$39,$A87,'Loss time 15-10'!$G$3:$G$39,C$85)</f>
        <v>12.5</v>
      </c>
      <c r="D87" s="23" t="n">
        <f aca="false">SUMIFS('Loss time 15-10'!$Q$3:$Q$39,'Loss time 15-10'!$H$3:$H$39,$A87,'Loss time 15-10'!$G$3:$G$39,D$85)</f>
        <v>112.5</v>
      </c>
      <c r="E87" s="23" t="n">
        <f aca="false">SUMIFS('Loss time 15-10'!$Q$3:$Q$39,'Loss time 15-10'!$H$3:$H$39,$A87,'Loss time 15-10'!$G$3:$G$39,E$85)</f>
        <v>75</v>
      </c>
      <c r="F87" s="23" t="n">
        <f aca="false">SUMIFS('Loss time 15-10'!$Q$3:$Q$39,'Loss time 15-10'!$H$3:$H$39,$A87,'Loss time 15-10'!$G$3:$G$39,F$85)</f>
        <v>25</v>
      </c>
      <c r="G87" s="23" t="n">
        <f aca="false">SUMIFS('Loss time 15-10'!$Q$3:$Q$39,'Loss time 15-10'!$H$3:$H$39,$A87,'Loss time 15-10'!$G$3:$G$39,G$85)</f>
        <v>0</v>
      </c>
      <c r="H87" s="23" t="n">
        <f aca="false">SUMIFS('Loss time 15-10'!$Q$3:$Q$39,'Loss time 15-10'!$H$3:$H$39,$A87,'Loss time 15-10'!$G$3:$G$39,H$85)</f>
        <v>0</v>
      </c>
      <c r="I87" s="23" t="n">
        <f aca="false">SUMIFS('Loss time 15-10'!$Q$3:$Q$39,'Loss time 15-10'!$H$3:$H$39,$A87,'Loss time 15-10'!$G$3:$G$39,I$85)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15-10'!$Q$3:$Q$39,'Loss time 15-10'!$H$3:$H$39,$A88,'Loss time 15-10'!$G$3:$G$39,C$85)</f>
        <v>0</v>
      </c>
      <c r="D88" s="23" t="n">
        <f aca="false">SUMIFS('Loss time 15-10'!$Q$3:$Q$39,'Loss time 15-10'!$H$3:$H$39,$A88,'Loss time 15-10'!$G$3:$G$39,D$85)</f>
        <v>0</v>
      </c>
      <c r="E88" s="23" t="n">
        <f aca="false">SUMIFS('Loss time 15-10'!$Q$3:$Q$39,'Loss time 15-10'!$H$3:$H$39,$A88,'Loss time 15-10'!$G$3:$G$39,E$85)</f>
        <v>0</v>
      </c>
      <c r="F88" s="23" t="n">
        <f aca="false">SUMIFS('Loss time 15-10'!$Q$3:$Q$39,'Loss time 15-10'!$H$3:$H$39,$A88,'Loss time 15-10'!$G$3:$G$39,F$85)</f>
        <v>32</v>
      </c>
      <c r="G88" s="23" t="n">
        <f aca="false">SUMIFS('Loss time 15-10'!$Q$3:$Q$39,'Loss time 15-10'!$H$3:$H$39,$A88,'Loss time 15-10'!$G$3:$G$39,G$85)</f>
        <v>0</v>
      </c>
      <c r="H88" s="23" t="n">
        <f aca="false">SUMIFS('Loss time 15-10'!$Q$3:$Q$39,'Loss time 15-10'!$H$3:$H$39,$A88,'Loss time 15-10'!$G$3:$G$39,H$85)</f>
        <v>0</v>
      </c>
      <c r="I88" s="23" t="n">
        <f aca="false">SUMIFS('Loss time 15-10'!$Q$3:$Q$39,'Loss time 15-10'!$H$3:$H$39,$A88,'Loss time 15-10'!$G$3:$G$39,I$85)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15-10'!$Q$3:$Q$39,'Loss time 15-10'!$H$3:$H$39,$A89,'Loss time 15-10'!$G$3:$G$39,C$85)</f>
        <v>0</v>
      </c>
      <c r="D89" s="23" t="n">
        <f aca="false">SUMIFS('Loss time 15-10'!$Q$3:$Q$39,'Loss time 15-10'!$H$3:$H$39,$A89,'Loss time 15-10'!$G$3:$G$39,D$85)</f>
        <v>0</v>
      </c>
      <c r="E89" s="23" t="n">
        <f aca="false">SUMIFS('Loss time 15-10'!$Q$3:$Q$39,'Loss time 15-10'!$H$3:$H$39,$A89,'Loss time 15-10'!$G$3:$G$39,E$85)</f>
        <v>31.5</v>
      </c>
      <c r="F89" s="23" t="n">
        <f aca="false">SUMIFS('Loss time 15-10'!$Q$3:$Q$39,'Loss time 15-10'!$H$3:$H$39,$A89,'Loss time 15-10'!$G$3:$G$39,F$85)</f>
        <v>135</v>
      </c>
      <c r="G89" s="23" t="n">
        <f aca="false">SUMIFS('Loss time 15-10'!$Q$3:$Q$39,'Loss time 15-10'!$H$3:$H$39,$A89,'Loss time 15-10'!$G$3:$G$39,G$85)</f>
        <v>0</v>
      </c>
      <c r="H89" s="23" t="n">
        <f aca="false">SUMIFS('Loss time 15-10'!$Q$3:$Q$39,'Loss time 15-10'!$H$3:$H$39,$A89,'Loss time 15-10'!$G$3:$G$39,H$85)</f>
        <v>63</v>
      </c>
      <c r="I89" s="23" t="n">
        <f aca="false">SUMIFS('Loss time 15-10'!$Q$3:$Q$39,'Loss time 15-10'!$H$3:$H$39,$A89,'Loss time 15-10'!$G$3:$G$39,I$85)</f>
        <v>0</v>
      </c>
      <c r="J89" s="24" t="n">
        <f aca="false">SUM(C89:I89)</f>
        <v>229.5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217</v>
      </c>
      <c r="G90" s="24" t="n">
        <f aca="false">SUM(G86:G89)</f>
        <v>0</v>
      </c>
      <c r="H90" s="24" t="n">
        <f aca="false">SUM(H86:H89)</f>
        <v>63</v>
      </c>
      <c r="I90" s="24" t="n">
        <f aca="false">SUM(I86:I89)</f>
        <v>0</v>
      </c>
      <c r="J90" s="24" t="n">
        <f aca="false">SUM(J86:J89)</f>
        <v>533.5</v>
      </c>
    </row>
    <row r="93" customFormat="false" ht="15" hidden="false" customHeight="false" outlineLevel="0" collapsed="false">
      <c r="A93" s="18" t="s">
        <v>246</v>
      </c>
    </row>
    <row r="94" customFormat="false" ht="25.35" hidden="false" customHeight="false" outlineLevel="0" collapsed="false">
      <c r="A94" s="2" t="s">
        <v>8</v>
      </c>
      <c r="B94" s="2" t="s">
        <v>235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236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16-10'!$Q$3:$Q$40,'Loss time 16-10'!$H$3:$H$40,$A95,'Loss time 16-10'!$G$3:$G$40,C$94)</f>
        <v>3.5</v>
      </c>
      <c r="D95" s="23" t="n">
        <f aca="false">SUMIFS('Loss time 16-10'!$Q$3:$Q$40,'Loss time 16-10'!$H$3:$H$40,$A95,'Loss time 16-10'!$G$3:$G$40,D$94)</f>
        <v>9</v>
      </c>
      <c r="E95" s="23" t="n">
        <f aca="false">SUMIFS('Loss time 16-10'!$Q$3:$Q$40,'Loss time 16-10'!$H$3:$H$40,$A95,'Loss time 16-10'!$G$3:$G$40,E$94)</f>
        <v>9.5</v>
      </c>
      <c r="F95" s="23" t="n">
        <f aca="false">SUMIFS('Loss time 16-10'!$Q$3:$Q$40,'Loss time 16-10'!$H$3:$H$40,$A95,'Loss time 16-10'!$G$3:$G$40,F$94)</f>
        <v>25</v>
      </c>
      <c r="G95" s="23" t="n">
        <f aca="false">SUMIFS('Loss time 16-10'!$Q$3:$Q$40,'Loss time 16-10'!$H$3:$H$40,$A95,'Loss time 16-10'!$G$3:$G$40,G$94)</f>
        <v>0</v>
      </c>
      <c r="H95" s="23" t="n">
        <f aca="false">SUMIFS('Loss time 16-10'!$Q$3:$Q$40,'Loss time 16-10'!$H$3:$H$40,$A95,'Loss time 16-10'!$G$3:$G$40,H$94)</f>
        <v>0</v>
      </c>
      <c r="I95" s="23" t="n">
        <f aca="false">SUMIFS('Loss time 16-10'!$Q$3:$Q$40,'Loss time 16-10'!$H$3:$H$40,$A95,'Loss time 16-10'!$G$3:$G$40,I$94)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16-10'!$Q$3:$Q$40,'Loss time 16-10'!$H$3:$H$40,$A96,'Loss time 16-10'!$G$3:$G$40,C$94)</f>
        <v>12.5</v>
      </c>
      <c r="D96" s="23" t="n">
        <f aca="false">SUMIFS('Loss time 16-10'!$Q$3:$Q$40,'Loss time 16-10'!$H$3:$H$40,$A96,'Loss time 16-10'!$G$3:$G$40,D$94)</f>
        <v>112.5</v>
      </c>
      <c r="E96" s="23" t="n">
        <f aca="false">SUMIFS('Loss time 16-10'!$Q$3:$Q$40,'Loss time 16-10'!$H$3:$H$40,$A96,'Loss time 16-10'!$G$3:$G$40,E$94)</f>
        <v>75</v>
      </c>
      <c r="F96" s="23" t="n">
        <f aca="false">SUMIFS('Loss time 16-10'!$Q$3:$Q$40,'Loss time 16-10'!$H$3:$H$40,$A96,'Loss time 16-10'!$G$3:$G$40,F$94)</f>
        <v>25</v>
      </c>
      <c r="G96" s="23" t="n">
        <f aca="false">SUMIFS('Loss time 16-10'!$Q$3:$Q$40,'Loss time 16-10'!$H$3:$H$40,$A96,'Loss time 16-10'!$G$3:$G$40,G$94)</f>
        <v>0</v>
      </c>
      <c r="H96" s="23" t="n">
        <f aca="false">SUMIFS('Loss time 16-10'!$Q$3:$Q$40,'Loss time 16-10'!$H$3:$H$40,$A96,'Loss time 16-10'!$G$3:$G$40,H$94)</f>
        <v>0</v>
      </c>
      <c r="I96" s="23" t="n">
        <f aca="false">SUMIFS('Loss time 16-10'!$Q$3:$Q$40,'Loss time 16-10'!$H$3:$H$40,$A96,'Loss time 16-10'!$G$3:$G$40,I$94)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16-10'!$Q$3:$Q$40,'Loss time 16-10'!$H$3:$H$40,$A97,'Loss time 16-10'!$G$3:$G$40,C$94)</f>
        <v>0</v>
      </c>
      <c r="D97" s="23" t="n">
        <f aca="false">SUMIFS('Loss time 16-10'!$Q$3:$Q$40,'Loss time 16-10'!$H$3:$H$40,$A97,'Loss time 16-10'!$G$3:$G$40,D$94)</f>
        <v>0</v>
      </c>
      <c r="E97" s="23" t="n">
        <f aca="false">SUMIFS('Loss time 16-10'!$Q$3:$Q$40,'Loss time 16-10'!$H$3:$H$40,$A97,'Loss time 16-10'!$G$3:$G$40,E$94)</f>
        <v>0</v>
      </c>
      <c r="F97" s="23" t="n">
        <f aca="false">SUMIFS('Loss time 16-10'!$Q$3:$Q$40,'Loss time 16-10'!$H$3:$H$40,$A97,'Loss time 16-10'!$G$3:$G$40,F$94)</f>
        <v>8</v>
      </c>
      <c r="G97" s="23" t="n">
        <f aca="false">SUMIFS('Loss time 16-10'!$Q$3:$Q$40,'Loss time 16-10'!$H$3:$H$40,$A97,'Loss time 16-10'!$G$3:$G$40,G$94)</f>
        <v>0</v>
      </c>
      <c r="H97" s="23" t="n">
        <f aca="false">SUMIFS('Loss time 16-10'!$Q$3:$Q$40,'Loss time 16-10'!$H$3:$H$40,$A97,'Loss time 16-10'!$G$3:$G$40,H$94)</f>
        <v>0</v>
      </c>
      <c r="I97" s="23" t="n">
        <f aca="false">SUMIFS('Loss time 16-10'!$Q$3:$Q$40,'Loss time 16-10'!$H$3:$H$40,$A97,'Loss time 16-10'!$G$3:$G$40,I$94)</f>
        <v>0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16-10'!$Q$3:$Q$40,'Loss time 16-10'!$H$3:$H$40,$A98,'Loss time 16-10'!$G$3:$G$40,C$94)</f>
        <v>0</v>
      </c>
      <c r="D98" s="23" t="n">
        <f aca="false">SUMIFS('Loss time 16-10'!$Q$3:$Q$40,'Loss time 16-10'!$H$3:$H$40,$A98,'Loss time 16-10'!$G$3:$G$40,D$94)</f>
        <v>0</v>
      </c>
      <c r="E98" s="23" t="n">
        <f aca="false">SUMIFS('Loss time 16-10'!$Q$3:$Q$40,'Loss time 16-10'!$H$3:$H$40,$A98,'Loss time 16-10'!$G$3:$G$40,E$94)</f>
        <v>31.5</v>
      </c>
      <c r="F98" s="23" t="n">
        <f aca="false">SUMIFS('Loss time 16-10'!$Q$3:$Q$40,'Loss time 16-10'!$H$3:$H$40,$A98,'Loss time 16-10'!$G$3:$G$40,F$94)</f>
        <v>153</v>
      </c>
      <c r="G98" s="23" t="n">
        <f aca="false">SUMIFS('Loss time 16-10'!$Q$3:$Q$40,'Loss time 16-10'!$H$3:$H$40,$A98,'Loss time 16-10'!$G$3:$G$40,G$94)</f>
        <v>0</v>
      </c>
      <c r="H98" s="23" t="n">
        <f aca="false">SUMIFS('Loss time 16-10'!$Q$3:$Q$40,'Loss time 16-10'!$H$3:$H$40,$A98,'Loss time 16-10'!$G$3:$G$40,H$94)</f>
        <v>63</v>
      </c>
      <c r="I98" s="23" t="n">
        <f aca="false">SUMIFS('Loss time 16-10'!$Q$3:$Q$40,'Loss time 16-10'!$H$3:$H$40,$A98,'Loss time 16-10'!$G$3:$G$40,I$94)</f>
        <v>0</v>
      </c>
      <c r="J98" s="24" t="n">
        <f aca="false">SUM(C98:I98)</f>
        <v>247.5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211</v>
      </c>
      <c r="G99" s="24" t="n">
        <f aca="false">SUM(G95:G98)</f>
        <v>0</v>
      </c>
      <c r="H99" s="24" t="n">
        <f aca="false">SUM(H95:H98)</f>
        <v>63</v>
      </c>
      <c r="I99" s="24" t="n">
        <f aca="false">SUM(I95:I98)</f>
        <v>0</v>
      </c>
      <c r="J99" s="24" t="n">
        <f aca="false">SUM(J95:J98)</f>
        <v>527.5</v>
      </c>
    </row>
    <row r="102" customFormat="false" ht="15" hidden="false" customHeight="false" outlineLevel="0" collapsed="false">
      <c r="A102" s="18" t="s">
        <v>247</v>
      </c>
    </row>
    <row r="103" customFormat="false" ht="25.35" hidden="false" customHeight="false" outlineLevel="0" collapsed="false">
      <c r="A103" s="2" t="s">
        <v>8</v>
      </c>
      <c r="B103" s="2" t="s">
        <v>235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236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17-10'!$Q$3:$Q$40,'Loss time 17-10'!$H$3:$H$40,$A104,'Loss time 17-10'!$G$3:$G$40,C$103)</f>
        <v>3.5</v>
      </c>
      <c r="D104" s="23" t="n">
        <f aca="false">SUMIFS('Loss time 17-10'!$Q$3:$Q$40,'Loss time 17-10'!$H$3:$H$40,$A104,'Loss time 17-10'!$G$3:$G$40,D$103)</f>
        <v>9</v>
      </c>
      <c r="E104" s="23" t="n">
        <f aca="false">SUMIFS('Loss time 17-10'!$Q$3:$Q$40,'Loss time 17-10'!$H$3:$H$40,$A104,'Loss time 17-10'!$G$3:$G$40,E$103)</f>
        <v>9.5</v>
      </c>
      <c r="F104" s="23" t="n">
        <f aca="false">SUMIFS('Loss time 17-10'!$Q$3:$Q$40,'Loss time 17-10'!$H$3:$H$40,$A104,'Loss time 17-10'!$G$3:$G$40,F$103)</f>
        <v>16</v>
      </c>
      <c r="G104" s="23" t="n">
        <f aca="false">SUMIFS('Loss time 17-10'!$Q$3:$Q$40,'Loss time 17-10'!$H$3:$H$40,$A104,'Loss time 17-10'!$G$3:$G$40,G$103)</f>
        <v>0</v>
      </c>
      <c r="H104" s="23" t="n">
        <f aca="false">SUMIFS('Loss time 17-10'!$Q$3:$Q$40,'Loss time 17-10'!$H$3:$H$40,$A104,'Loss time 17-10'!$G$3:$G$40,H$103)</f>
        <v>0</v>
      </c>
      <c r="I104" s="23" t="n">
        <f aca="false">SUMIFS('Loss time 17-10'!$Q$3:$Q$40,'Loss time 17-10'!$H$3:$H$40,$A104,'Loss time 17-10'!$G$3:$G$40,I$103)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17-10'!$Q$3:$Q$40,'Loss time 17-10'!$H$3:$H$40,$A105,'Loss time 17-10'!$G$3:$G$40,C$103)</f>
        <v>8</v>
      </c>
      <c r="D105" s="23" t="n">
        <f aca="false">SUMIFS('Loss time 17-10'!$Q$3:$Q$40,'Loss time 17-10'!$H$3:$H$40,$A105,'Loss time 17-10'!$G$3:$G$40,D$103)</f>
        <v>72</v>
      </c>
      <c r="E105" s="23" t="n">
        <f aca="false">SUMIFS('Loss time 17-10'!$Q$3:$Q$40,'Loss time 17-10'!$H$3:$H$40,$A105,'Loss time 17-10'!$G$3:$G$40,E$103)</f>
        <v>48</v>
      </c>
      <c r="F105" s="23" t="n">
        <f aca="false">SUMIFS('Loss time 17-10'!$Q$3:$Q$40,'Loss time 17-10'!$H$3:$H$40,$A105,'Loss time 17-10'!$G$3:$G$40,F$103)</f>
        <v>16</v>
      </c>
      <c r="G105" s="23" t="n">
        <f aca="false">SUMIFS('Loss time 17-10'!$Q$3:$Q$40,'Loss time 17-10'!$H$3:$H$40,$A105,'Loss time 17-10'!$G$3:$G$40,G$103)</f>
        <v>0</v>
      </c>
      <c r="H105" s="23" t="n">
        <f aca="false">SUMIFS('Loss time 17-10'!$Q$3:$Q$40,'Loss time 17-10'!$H$3:$H$40,$A105,'Loss time 17-10'!$G$3:$G$40,H$103)</f>
        <v>0</v>
      </c>
      <c r="I105" s="23" t="n">
        <f aca="false">SUMIFS('Loss time 17-10'!$Q$3:$Q$40,'Loss time 17-10'!$H$3:$H$40,$A105,'Loss time 17-10'!$G$3:$G$40,I$103)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17-10'!$Q$3:$Q$40,'Loss time 17-10'!$H$3:$H$40,$A106,'Loss time 17-10'!$G$3:$G$40,C$103)</f>
        <v>0</v>
      </c>
      <c r="D106" s="23" t="n">
        <f aca="false">SUMIFS('Loss time 17-10'!$Q$3:$Q$40,'Loss time 17-10'!$H$3:$H$40,$A106,'Loss time 17-10'!$G$3:$G$40,D$103)</f>
        <v>0</v>
      </c>
      <c r="E106" s="23" t="n">
        <f aca="false">SUMIFS('Loss time 17-10'!$Q$3:$Q$40,'Loss time 17-10'!$H$3:$H$40,$A106,'Loss time 17-10'!$G$3:$G$40,E$103)</f>
        <v>0</v>
      </c>
      <c r="F106" s="23" t="n">
        <f aca="false">SUMIFS('Loss time 17-10'!$Q$3:$Q$40,'Loss time 17-10'!$H$3:$H$40,$A106,'Loss time 17-10'!$G$3:$G$40,F$103)</f>
        <v>0</v>
      </c>
      <c r="G106" s="23" t="n">
        <f aca="false">SUMIFS('Loss time 17-10'!$Q$3:$Q$40,'Loss time 17-10'!$H$3:$H$40,$A106,'Loss time 17-10'!$G$3:$G$40,G$103)</f>
        <v>0</v>
      </c>
      <c r="H106" s="23" t="n">
        <f aca="false">SUMIFS('Loss time 17-10'!$Q$3:$Q$40,'Loss time 17-10'!$H$3:$H$40,$A106,'Loss time 17-10'!$G$3:$G$40,H$103)</f>
        <v>0</v>
      </c>
      <c r="I106" s="23" t="n">
        <f aca="false">SUMIFS('Loss time 17-10'!$Q$3:$Q$40,'Loss time 17-10'!$H$3:$H$40,$A106,'Loss time 17-10'!$G$3:$G$40,I$103)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17-10'!$Q$3:$Q$40,'Loss time 17-10'!$H$3:$H$40,$A107,'Loss time 17-10'!$G$3:$G$40,C$103)</f>
        <v>0</v>
      </c>
      <c r="D107" s="23" t="n">
        <f aca="false">SUMIFS('Loss time 17-10'!$Q$3:$Q$40,'Loss time 17-10'!$H$3:$H$40,$A107,'Loss time 17-10'!$G$3:$G$40,D$103)</f>
        <v>0</v>
      </c>
      <c r="E107" s="23" t="n">
        <f aca="false">SUMIFS('Loss time 17-10'!$Q$3:$Q$40,'Loss time 17-10'!$H$3:$H$40,$A107,'Loss time 17-10'!$G$3:$G$40,E$103)</f>
        <v>31.5</v>
      </c>
      <c r="F107" s="23" t="n">
        <f aca="false">SUMIFS('Loss time 17-10'!$Q$3:$Q$40,'Loss time 17-10'!$H$3:$H$40,$A107,'Loss time 17-10'!$G$3:$G$40,F$103)</f>
        <v>157.5</v>
      </c>
      <c r="G107" s="23" t="n">
        <f aca="false">SUMIFS('Loss time 17-10'!$Q$3:$Q$40,'Loss time 17-10'!$H$3:$H$40,$A107,'Loss time 17-10'!$G$3:$G$40,G$103)</f>
        <v>0</v>
      </c>
      <c r="H107" s="23" t="n">
        <f aca="false">SUMIFS('Loss time 17-10'!$Q$3:$Q$40,'Loss time 17-10'!$H$3:$H$40,$A107,'Loss time 17-10'!$G$3:$G$40,H$103)</f>
        <v>63</v>
      </c>
      <c r="I107" s="23" t="n">
        <f aca="false">SUMIFS('Loss time 17-10'!$Q$3:$Q$40,'Loss time 17-10'!$H$3:$H$40,$A107,'Loss time 17-10'!$G$3:$G$40,I$103)</f>
        <v>0</v>
      </c>
      <c r="J107" s="24" t="n">
        <f aca="false">SUM(C107:I107)</f>
        <v>252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189.5</v>
      </c>
      <c r="G108" s="24" t="n">
        <f aca="false">SUM(G104:G107)</f>
        <v>0</v>
      </c>
      <c r="H108" s="24" t="n">
        <f aca="false">SUM(H104:H107)</f>
        <v>63</v>
      </c>
      <c r="I108" s="24" t="n">
        <f aca="false">SUM(I104:I107)</f>
        <v>0</v>
      </c>
      <c r="J108" s="24" t="n">
        <f aca="false">SUM(J104:J107)</f>
        <v>434</v>
      </c>
    </row>
    <row r="111" customFormat="false" ht="15" hidden="false" customHeight="false" outlineLevel="0" collapsed="false">
      <c r="A111" s="18" t="s">
        <v>248</v>
      </c>
    </row>
    <row r="112" customFormat="false" ht="25.35" hidden="false" customHeight="false" outlineLevel="0" collapsed="false">
      <c r="A112" s="2" t="s">
        <v>8</v>
      </c>
      <c r="B112" s="2" t="s">
        <v>235</v>
      </c>
      <c r="C112" s="2" t="s">
        <v>18</v>
      </c>
      <c r="D112" s="2" t="s">
        <v>23</v>
      </c>
      <c r="E112" s="2" t="s">
        <v>25</v>
      </c>
      <c r="F112" s="2" t="s">
        <v>28</v>
      </c>
      <c r="G112" s="2" t="s">
        <v>68</v>
      </c>
      <c r="H112" s="2" t="s">
        <v>72</v>
      </c>
      <c r="I112" s="2" t="s">
        <v>236</v>
      </c>
      <c r="J112" s="2" t="s">
        <v>75</v>
      </c>
    </row>
    <row r="113" customFormat="false" ht="15" hidden="false" customHeight="false" outlineLevel="0" collapsed="false">
      <c r="A113" s="22" t="s">
        <v>19</v>
      </c>
      <c r="B113" s="22" t="s">
        <v>20</v>
      </c>
      <c r="C113" s="23" t="n">
        <f aca="false">SUMIFS('Loss time 19-10'!$Q$3:$Q$40,'Loss time 19-10'!$H$3:$H$40,$A113,'Loss time 19-10'!$G$3:$G$40,C$112)</f>
        <v>3.5</v>
      </c>
      <c r="D113" s="23" t="n">
        <f aca="false">SUMIFS('Loss time 19-10'!$Q$3:$Q$40,'Loss time 19-10'!$H$3:$H$40,$A113,'Loss time 19-10'!$G$3:$G$40,D$112)</f>
        <v>9</v>
      </c>
      <c r="E113" s="23" t="n">
        <f aca="false">SUMIFS('Loss time 19-10'!$Q$3:$Q$40,'Loss time 19-10'!$H$3:$H$40,$A113,'Loss time 19-10'!$G$3:$G$40,E$112)</f>
        <v>9.5</v>
      </c>
      <c r="F113" s="23" t="n">
        <f aca="false">SUMIFS('Loss time 19-10'!$Q$3:$Q$40,'Loss time 19-10'!$H$3:$H$40,$A113,'Loss time 19-10'!$G$3:$G$40,F$112)</f>
        <v>25</v>
      </c>
      <c r="G113" s="23" t="n">
        <f aca="false">SUMIFS('Loss time 19-10'!$Q$3:$Q$40,'Loss time 19-10'!$H$3:$H$40,$A113,'Loss time 19-10'!$G$3:$G$40,G$112)</f>
        <v>0</v>
      </c>
      <c r="H113" s="23" t="n">
        <f aca="false">SUMIFS('Loss time 19-10'!$Q$3:$Q$40,'Loss time 19-10'!$H$3:$H$40,$A113,'Loss time 19-10'!$G$3:$G$40,H$112)</f>
        <v>0</v>
      </c>
      <c r="I113" s="23" t="n">
        <f aca="false">SUMIFS('Loss time 19-10'!$Q$3:$Q$40,'Loss time 19-10'!$H$3:$H$40,$A113,'Loss time 19-10'!$G$3:$G$40,I$112)</f>
        <v>0</v>
      </c>
      <c r="J113" s="24" t="n">
        <f aca="false">SUM(C113:I113)</f>
        <v>47</v>
      </c>
    </row>
    <row r="114" customFormat="false" ht="15" hidden="false" customHeight="false" outlineLevel="0" collapsed="false">
      <c r="A114" s="22" t="s">
        <v>30</v>
      </c>
      <c r="B114" s="22" t="s">
        <v>31</v>
      </c>
      <c r="C114" s="23" t="n">
        <f aca="false">SUMIFS('Loss time 19-10'!$Q$3:$Q$40,'Loss time 19-10'!$H$3:$H$40,$A114,'Loss time 19-10'!$G$3:$G$40,C$112)</f>
        <v>12.5</v>
      </c>
      <c r="D114" s="23" t="n">
        <f aca="false">SUMIFS('Loss time 19-10'!$Q$3:$Q$40,'Loss time 19-10'!$H$3:$H$40,$A114,'Loss time 19-10'!$G$3:$G$40,D$112)</f>
        <v>112.5</v>
      </c>
      <c r="E114" s="23" t="n">
        <f aca="false">SUMIFS('Loss time 19-10'!$Q$3:$Q$40,'Loss time 19-10'!$H$3:$H$40,$A114,'Loss time 19-10'!$G$3:$G$40,E$112)</f>
        <v>75</v>
      </c>
      <c r="F114" s="23" t="n">
        <f aca="false">SUMIFS('Loss time 19-10'!$Q$3:$Q$40,'Loss time 19-10'!$H$3:$H$40,$A114,'Loss time 19-10'!$G$3:$G$40,F$112)</f>
        <v>25</v>
      </c>
      <c r="G114" s="23" t="n">
        <f aca="false">SUMIFS('Loss time 19-10'!$Q$3:$Q$40,'Loss time 19-10'!$H$3:$H$40,$A114,'Loss time 19-10'!$G$3:$G$40,G$112)</f>
        <v>0</v>
      </c>
      <c r="H114" s="23" t="n">
        <f aca="false">SUMIFS('Loss time 19-10'!$Q$3:$Q$40,'Loss time 19-10'!$H$3:$H$40,$A114,'Loss time 19-10'!$G$3:$G$40,H$112)</f>
        <v>0</v>
      </c>
      <c r="I114" s="23" t="n">
        <f aca="false">SUMIFS('Loss time 19-10'!$Q$3:$Q$40,'Loss time 19-10'!$H$3:$H$40,$A114,'Loss time 19-10'!$G$3:$G$40,I$112)</f>
        <v>0</v>
      </c>
      <c r="J114" s="24" t="n">
        <f aca="false">SUM(C114:I114)</f>
        <v>225</v>
      </c>
    </row>
    <row r="115" customFormat="false" ht="15" hidden="false" customHeight="false" outlineLevel="0" collapsed="false">
      <c r="A115" s="22" t="s">
        <v>48</v>
      </c>
      <c r="B115" s="22" t="s">
        <v>49</v>
      </c>
      <c r="C115" s="23" t="n">
        <f aca="false">SUMIFS('Loss time 19-10'!$Q$3:$Q$40,'Loss time 19-10'!$H$3:$H$40,$A115,'Loss time 19-10'!$G$3:$G$40,C$112)</f>
        <v>0</v>
      </c>
      <c r="D115" s="23" t="n">
        <f aca="false">SUMIFS('Loss time 19-10'!$Q$3:$Q$40,'Loss time 19-10'!$H$3:$H$40,$A115,'Loss time 19-10'!$G$3:$G$40,D$112)</f>
        <v>0</v>
      </c>
      <c r="E115" s="23" t="n">
        <f aca="false">SUMIFS('Loss time 19-10'!$Q$3:$Q$40,'Loss time 19-10'!$H$3:$H$40,$A115,'Loss time 19-10'!$G$3:$G$40,E$112)</f>
        <v>0</v>
      </c>
      <c r="F115" s="23" t="n">
        <f aca="false">SUMIFS('Loss time 19-10'!$Q$3:$Q$40,'Loss time 19-10'!$H$3:$H$40,$A115,'Loss time 19-10'!$G$3:$G$40,F$112)</f>
        <v>0</v>
      </c>
      <c r="G115" s="23" t="n">
        <f aca="false">SUMIFS('Loss time 19-10'!$Q$3:$Q$40,'Loss time 19-10'!$H$3:$H$40,$A115,'Loss time 19-10'!$G$3:$G$40,G$112)</f>
        <v>0</v>
      </c>
      <c r="H115" s="23" t="n">
        <f aca="false">SUMIFS('Loss time 19-10'!$Q$3:$Q$40,'Loss time 19-10'!$H$3:$H$40,$A115,'Loss time 19-10'!$G$3:$G$40,H$112)</f>
        <v>0</v>
      </c>
      <c r="I115" s="23" t="n">
        <f aca="false">SUMIFS('Loss time 19-10'!$Q$3:$Q$40,'Loss time 19-10'!$H$3:$H$40,$A115,'Loss time 19-10'!$G$3:$G$40,I$112)</f>
        <v>0</v>
      </c>
      <c r="J115" s="24" t="n">
        <f aca="false">SUM(C115:I115)</f>
        <v>0</v>
      </c>
    </row>
    <row r="116" customFormat="false" ht="15" hidden="false" customHeight="false" outlineLevel="0" collapsed="false">
      <c r="A116" s="22" t="s">
        <v>52</v>
      </c>
      <c r="B116" s="22" t="s">
        <v>53</v>
      </c>
      <c r="C116" s="23" t="n">
        <f aca="false">SUMIFS('Loss time 19-10'!$Q$3:$Q$40,'Loss time 19-10'!$H$3:$H$40,$A116,'Loss time 19-10'!$G$3:$G$40,C$112)</f>
        <v>0</v>
      </c>
      <c r="D116" s="23" t="n">
        <f aca="false">SUMIFS('Loss time 19-10'!$Q$3:$Q$40,'Loss time 19-10'!$H$3:$H$40,$A116,'Loss time 19-10'!$G$3:$G$40,D$112)</f>
        <v>0</v>
      </c>
      <c r="E116" s="23" t="n">
        <f aca="false">SUMIFS('Loss time 19-10'!$Q$3:$Q$40,'Loss time 19-10'!$H$3:$H$40,$A116,'Loss time 19-10'!$G$3:$G$40,E$112)</f>
        <v>31.5</v>
      </c>
      <c r="F116" s="23" t="n">
        <f aca="false">SUMIFS('Loss time 19-10'!$Q$3:$Q$40,'Loss time 19-10'!$H$3:$H$40,$A116,'Loss time 19-10'!$G$3:$G$40,F$112)</f>
        <v>157.5</v>
      </c>
      <c r="G116" s="23" t="n">
        <f aca="false">SUMIFS('Loss time 19-10'!$Q$3:$Q$40,'Loss time 19-10'!$H$3:$H$40,$A116,'Loss time 19-10'!$G$3:$G$40,G$112)</f>
        <v>0</v>
      </c>
      <c r="H116" s="23" t="n">
        <f aca="false">SUMIFS('Loss time 19-10'!$Q$3:$Q$40,'Loss time 19-10'!$H$3:$H$40,$A116,'Loss time 19-10'!$G$3:$G$40,H$112)</f>
        <v>63</v>
      </c>
      <c r="I116" s="23" t="n">
        <f aca="false">SUMIFS('Loss time 19-10'!$Q$3:$Q$40,'Loss time 19-10'!$H$3:$H$40,$A116,'Loss time 19-10'!$G$3:$G$40,I$112)</f>
        <v>0</v>
      </c>
      <c r="J116" s="24" t="n">
        <f aca="false">SUM(C116:I116)</f>
        <v>252</v>
      </c>
    </row>
    <row r="117" customFormat="false" ht="15" hidden="false" customHeight="false" outlineLevel="0" collapsed="false">
      <c r="A117" s="25" t="s">
        <v>75</v>
      </c>
      <c r="B117" s="25"/>
      <c r="C117" s="24" t="n">
        <f aca="false">SUM(C113:C116)</f>
        <v>16</v>
      </c>
      <c r="D117" s="24" t="n">
        <f aca="false">SUM(D113:D116)</f>
        <v>121.5</v>
      </c>
      <c r="E117" s="24" t="n">
        <f aca="false">SUM(E113:E116)</f>
        <v>116</v>
      </c>
      <c r="F117" s="24" t="n">
        <f aca="false">SUM(F113:F116)</f>
        <v>207.5</v>
      </c>
      <c r="G117" s="24" t="n">
        <f aca="false">SUM(G113:G116)</f>
        <v>0</v>
      </c>
      <c r="H117" s="24" t="n">
        <f aca="false">SUM(H113:H116)</f>
        <v>63</v>
      </c>
      <c r="I117" s="24" t="n">
        <f aca="false">SUM(I113:I116)</f>
        <v>0</v>
      </c>
      <c r="J117" s="24" t="n">
        <f aca="false">SUM(J113:J116)</f>
        <v>524</v>
      </c>
    </row>
    <row r="120" customFormat="false" ht="15" hidden="false" customHeight="false" outlineLevel="0" collapsed="false">
      <c r="A120" s="18" t="s">
        <v>249</v>
      </c>
    </row>
    <row r="121" customFormat="false" ht="25.35" hidden="false" customHeight="false" outlineLevel="0" collapsed="false">
      <c r="A121" s="2" t="s">
        <v>8</v>
      </c>
      <c r="B121" s="2" t="s">
        <v>235</v>
      </c>
      <c r="C121" s="2" t="s">
        <v>18</v>
      </c>
      <c r="D121" s="2" t="s">
        <v>23</v>
      </c>
      <c r="E121" s="2" t="s">
        <v>25</v>
      </c>
      <c r="F121" s="2" t="s">
        <v>28</v>
      </c>
      <c r="G121" s="2" t="s">
        <v>68</v>
      </c>
      <c r="H121" s="2" t="s">
        <v>72</v>
      </c>
      <c r="I121" s="2" t="s">
        <v>236</v>
      </c>
      <c r="J121" s="2" t="s">
        <v>75</v>
      </c>
    </row>
    <row r="122" customFormat="false" ht="15" hidden="false" customHeight="false" outlineLevel="0" collapsed="false">
      <c r="A122" s="22" t="s">
        <v>19</v>
      </c>
      <c r="B122" s="22" t="s">
        <v>20</v>
      </c>
      <c r="C122" s="23" t="n">
        <f aca="false">SUMIFS('Loss time 20-10'!$Q$3:$Q$39,'Loss time 20-10'!$H$3:$H$39,$A122,'Loss time 20-10'!$G$3:$G$39,C$121)</f>
        <v>3.5</v>
      </c>
      <c r="D122" s="23" t="n">
        <f aca="false">SUMIFS('Loss time 20-10'!$Q$3:$Q$39,'Loss time 20-10'!$H$3:$H$39,$A122,'Loss time 20-10'!$G$3:$G$39,D$121)</f>
        <v>9</v>
      </c>
      <c r="E122" s="23" t="n">
        <f aca="false">SUMIFS('Loss time 20-10'!$Q$3:$Q$39,'Loss time 20-10'!$H$3:$H$39,$A122,'Loss time 20-10'!$G$3:$G$39,E$121)</f>
        <v>9.5</v>
      </c>
      <c r="F122" s="23" t="n">
        <f aca="false">SUMIFS('Loss time 20-10'!$Q$3:$Q$39,'Loss time 20-10'!$H$3:$H$39,$A122,'Loss time 20-10'!$G$3:$G$39,F$121)</f>
        <v>25</v>
      </c>
      <c r="G122" s="23" t="n">
        <f aca="false">SUMIFS('Loss time 20-10'!$Q$3:$Q$39,'Loss time 20-10'!$H$3:$H$39,$A122,'Loss time 20-10'!$G$3:$G$39,G$121)</f>
        <v>0</v>
      </c>
      <c r="H122" s="23" t="n">
        <f aca="false">SUMIFS('Loss time 20-10'!$Q$3:$Q$39,'Loss time 20-10'!$H$3:$H$39,$A122,'Loss time 20-10'!$G$3:$G$39,H$121)</f>
        <v>0</v>
      </c>
      <c r="I122" s="23" t="n">
        <f aca="false">SUMIFS('Loss time 20-10'!$Q$3:$Q$39,'Loss time 20-10'!$H$3:$H$39,$A122,'Loss time 20-10'!$G$3:$G$39,I$121)</f>
        <v>0</v>
      </c>
      <c r="J122" s="24" t="n">
        <f aca="false">SUM(C122:I122)</f>
        <v>47</v>
      </c>
    </row>
    <row r="123" customFormat="false" ht="15" hidden="false" customHeight="false" outlineLevel="0" collapsed="false">
      <c r="A123" s="22" t="s">
        <v>30</v>
      </c>
      <c r="B123" s="22" t="s">
        <v>31</v>
      </c>
      <c r="C123" s="23" t="n">
        <f aca="false">SUMIFS('Loss time 20-10'!$Q$3:$Q$39,'Loss time 20-10'!$H$3:$H$39,$A123,'Loss time 20-10'!$G$3:$G$39,C$121)</f>
        <v>12.5</v>
      </c>
      <c r="D123" s="23" t="n">
        <f aca="false">SUMIFS('Loss time 20-10'!$Q$3:$Q$39,'Loss time 20-10'!$H$3:$H$39,$A123,'Loss time 20-10'!$G$3:$G$39,D$121)</f>
        <v>112.5</v>
      </c>
      <c r="E123" s="23" t="n">
        <f aca="false">SUMIFS('Loss time 20-10'!$Q$3:$Q$39,'Loss time 20-10'!$H$3:$H$39,$A123,'Loss time 20-10'!$G$3:$G$39,E$121)</f>
        <v>75</v>
      </c>
      <c r="F123" s="23" t="n">
        <f aca="false">SUMIFS('Loss time 20-10'!$Q$3:$Q$39,'Loss time 20-10'!$H$3:$H$39,$A123,'Loss time 20-10'!$G$3:$G$39,F$121)</f>
        <v>25</v>
      </c>
      <c r="G123" s="23" t="n">
        <f aca="false">SUMIFS('Loss time 20-10'!$Q$3:$Q$39,'Loss time 20-10'!$H$3:$H$39,$A123,'Loss time 20-10'!$G$3:$G$39,G$121)</f>
        <v>0</v>
      </c>
      <c r="H123" s="23" t="n">
        <f aca="false">SUMIFS('Loss time 20-10'!$Q$3:$Q$39,'Loss time 20-10'!$H$3:$H$39,$A123,'Loss time 20-10'!$G$3:$G$39,H$121)</f>
        <v>0</v>
      </c>
      <c r="I123" s="23" t="n">
        <f aca="false">SUMIFS('Loss time 20-10'!$Q$3:$Q$39,'Loss time 20-10'!$H$3:$H$39,$A123,'Loss time 20-10'!$G$3:$G$39,I$121)</f>
        <v>0</v>
      </c>
      <c r="J123" s="24" t="n">
        <f aca="false">SUM(C123:I123)</f>
        <v>225</v>
      </c>
    </row>
    <row r="124" customFormat="false" ht="15" hidden="false" customHeight="false" outlineLevel="0" collapsed="false">
      <c r="A124" s="22" t="s">
        <v>48</v>
      </c>
      <c r="B124" s="22" t="s">
        <v>49</v>
      </c>
      <c r="C124" s="23" t="n">
        <f aca="false">SUMIFS('Loss time 20-10'!$Q$3:$Q$39,'Loss time 20-10'!$H$3:$H$39,$A124,'Loss time 20-10'!$G$3:$G$39,C$121)</f>
        <v>0</v>
      </c>
      <c r="D124" s="23" t="n">
        <f aca="false">SUMIFS('Loss time 20-10'!$Q$3:$Q$39,'Loss time 20-10'!$H$3:$H$39,$A124,'Loss time 20-10'!$G$3:$G$39,D$121)</f>
        <v>0</v>
      </c>
      <c r="E124" s="23" t="n">
        <f aca="false">SUMIFS('Loss time 20-10'!$Q$3:$Q$39,'Loss time 20-10'!$H$3:$H$39,$A124,'Loss time 20-10'!$G$3:$G$39,E$121)</f>
        <v>0</v>
      </c>
      <c r="F124" s="23" t="n">
        <f aca="false">SUMIFS('Loss time 20-10'!$Q$3:$Q$39,'Loss time 20-10'!$H$3:$H$39,$A124,'Loss time 20-10'!$G$3:$G$39,F$121)</f>
        <v>0</v>
      </c>
      <c r="G124" s="23" t="n">
        <f aca="false">SUMIFS('Loss time 20-10'!$Q$3:$Q$39,'Loss time 20-10'!$H$3:$H$39,$A124,'Loss time 20-10'!$G$3:$G$39,G$121)</f>
        <v>0</v>
      </c>
      <c r="H124" s="23" t="n">
        <f aca="false">SUMIFS('Loss time 20-10'!$Q$3:$Q$39,'Loss time 20-10'!$H$3:$H$39,$A124,'Loss time 20-10'!$G$3:$G$39,H$121)</f>
        <v>0</v>
      </c>
      <c r="I124" s="23" t="n">
        <f aca="false">SUMIFS('Loss time 20-10'!$Q$3:$Q$39,'Loss time 20-10'!$H$3:$H$39,$A124,'Loss time 20-10'!$G$3:$G$39,I$121)</f>
        <v>0</v>
      </c>
      <c r="J124" s="24" t="n">
        <f aca="false">SUM(C124:I124)</f>
        <v>0</v>
      </c>
    </row>
    <row r="125" customFormat="false" ht="15" hidden="false" customHeight="false" outlineLevel="0" collapsed="false">
      <c r="A125" s="22" t="s">
        <v>52</v>
      </c>
      <c r="B125" s="22" t="s">
        <v>53</v>
      </c>
      <c r="C125" s="23" t="n">
        <f aca="false">SUMIFS('Loss time 20-10'!$Q$3:$Q$39,'Loss time 20-10'!$H$3:$H$39,$A125,'Loss time 20-10'!$G$3:$G$39,C$121)</f>
        <v>0</v>
      </c>
      <c r="D125" s="23" t="n">
        <f aca="false">SUMIFS('Loss time 20-10'!$Q$3:$Q$39,'Loss time 20-10'!$H$3:$H$39,$A125,'Loss time 20-10'!$G$3:$G$39,D$121)</f>
        <v>0</v>
      </c>
      <c r="E125" s="23" t="n">
        <f aca="false">SUMIFS('Loss time 20-10'!$Q$3:$Q$39,'Loss time 20-10'!$H$3:$H$39,$A125,'Loss time 20-10'!$G$3:$G$39,E$121)</f>
        <v>31.5</v>
      </c>
      <c r="F125" s="23" t="n">
        <f aca="false">SUMIFS('Loss time 20-10'!$Q$3:$Q$39,'Loss time 20-10'!$H$3:$H$39,$A125,'Loss time 20-10'!$G$3:$G$39,F$121)</f>
        <v>130.5</v>
      </c>
      <c r="G125" s="23" t="n">
        <f aca="false">SUMIFS('Loss time 20-10'!$Q$3:$Q$39,'Loss time 20-10'!$H$3:$H$39,$A125,'Loss time 20-10'!$G$3:$G$39,G$121)</f>
        <v>0</v>
      </c>
      <c r="H125" s="23" t="n">
        <f aca="false">SUMIFS('Loss time 20-10'!$Q$3:$Q$39,'Loss time 20-10'!$H$3:$H$39,$A125,'Loss time 20-10'!$G$3:$G$39,H$121)</f>
        <v>63</v>
      </c>
      <c r="I125" s="23" t="n">
        <f aca="false">SUMIFS('Loss time 20-10'!$Q$3:$Q$39,'Loss time 20-10'!$H$3:$H$39,$A125,'Loss time 20-10'!$G$3:$G$39,I$121)</f>
        <v>0</v>
      </c>
      <c r="J125" s="24" t="n">
        <f aca="false">SUM(C125:I125)</f>
        <v>225</v>
      </c>
    </row>
    <row r="126" customFormat="false" ht="15" hidden="false" customHeight="false" outlineLevel="0" collapsed="false">
      <c r="A126" s="25" t="s">
        <v>75</v>
      </c>
      <c r="B126" s="25"/>
      <c r="C126" s="24" t="n">
        <f aca="false">SUM(C122:C125)</f>
        <v>16</v>
      </c>
      <c r="D126" s="24" t="n">
        <f aca="false">SUM(D122:D125)</f>
        <v>121.5</v>
      </c>
      <c r="E126" s="24" t="n">
        <f aca="false">SUM(E122:E125)</f>
        <v>116</v>
      </c>
      <c r="F126" s="24" t="n">
        <f aca="false">SUM(F122:F125)</f>
        <v>180.5</v>
      </c>
      <c r="G126" s="24" t="n">
        <f aca="false">SUM(G122:G125)</f>
        <v>0</v>
      </c>
      <c r="H126" s="24" t="n">
        <f aca="false">SUM(H122:H125)</f>
        <v>63</v>
      </c>
      <c r="I126" s="24" t="n">
        <f aca="false">SUM(I122:I125)</f>
        <v>0</v>
      </c>
      <c r="J126" s="24" t="n">
        <f aca="false">SUM(J122:J125)</f>
        <v>497</v>
      </c>
    </row>
    <row r="128" customFormat="false" ht="15" hidden="false" customHeight="false" outlineLevel="0" collapsed="false">
      <c r="A128" s="2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251</v>
      </c>
    </row>
    <row r="3" customFormat="false" ht="31.5" hidden="false" customHeight="true" outlineLevel="0" collapsed="false">
      <c r="A3" s="2" t="s">
        <v>252</v>
      </c>
      <c r="B3" s="2" t="s">
        <v>253</v>
      </c>
      <c r="C3" s="2" t="s">
        <v>16</v>
      </c>
      <c r="D3" s="2" t="s">
        <v>254</v>
      </c>
      <c r="E3" s="2" t="s">
        <v>255</v>
      </c>
      <c r="F3" s="2" t="s">
        <v>256</v>
      </c>
      <c r="G3" s="2" t="s">
        <v>257</v>
      </c>
      <c r="H3" s="2" t="s">
        <v>258</v>
      </c>
      <c r="I3" s="2" t="s">
        <v>259</v>
      </c>
      <c r="J3" s="2" t="s">
        <v>260</v>
      </c>
      <c r="K3" s="2" t="s">
        <v>261</v>
      </c>
      <c r="L3" s="2" t="s">
        <v>262</v>
      </c>
      <c r="M3" s="2" t="s">
        <v>263</v>
      </c>
      <c r="N3" s="2" t="s">
        <v>264</v>
      </c>
      <c r="O3" s="2" t="s">
        <v>265</v>
      </c>
      <c r="P3" s="2" t="s">
        <v>266</v>
      </c>
      <c r="Q3" s="2" t="s">
        <v>267</v>
      </c>
      <c r="R3" s="2" t="s">
        <v>268</v>
      </c>
    </row>
    <row r="4" customFormat="false" ht="15" hidden="false" customHeight="false" outlineLevel="0" collapsed="false">
      <c r="A4" s="8" t="s">
        <v>269</v>
      </c>
      <c r="B4" s="8" t="s">
        <v>28</v>
      </c>
      <c r="C4" s="8" t="n">
        <v>1</v>
      </c>
      <c r="D4" s="8" t="s">
        <v>270</v>
      </c>
      <c r="E4" s="8" t="s">
        <v>270</v>
      </c>
      <c r="F4" s="8" t="s">
        <v>270</v>
      </c>
      <c r="G4" s="8" t="s">
        <v>270</v>
      </c>
      <c r="H4" s="8" t="s">
        <v>270</v>
      </c>
      <c r="I4" s="8" t="s">
        <v>270</v>
      </c>
      <c r="J4" s="8" t="s">
        <v>270</v>
      </c>
      <c r="K4" s="8" t="s">
        <v>270</v>
      </c>
      <c r="L4" s="8" t="s">
        <v>270</v>
      </c>
      <c r="M4" s="8" t="s">
        <v>270</v>
      </c>
      <c r="N4" s="8" t="s">
        <v>48</v>
      </c>
      <c r="O4" s="8" t="s">
        <v>271</v>
      </c>
      <c r="P4" s="8" t="s">
        <v>272</v>
      </c>
      <c r="Q4" s="8" t="s">
        <v>273</v>
      </c>
      <c r="R4" s="26" t="n">
        <f aca="false">WORKDAY.INTL(DATE(2026,10,16),12,11)</f>
        <v>46325</v>
      </c>
    </row>
    <row r="5" customFormat="false" ht="15" hidden="false" customHeight="false" outlineLevel="0" collapsed="false">
      <c r="A5" s="8" t="s">
        <v>274</v>
      </c>
      <c r="B5" s="8" t="s">
        <v>28</v>
      </c>
      <c r="C5" s="8" t="n">
        <v>4</v>
      </c>
      <c r="D5" s="8" t="s">
        <v>270</v>
      </c>
      <c r="E5" s="8" t="s">
        <v>270</v>
      </c>
      <c r="F5" s="8" t="s">
        <v>270</v>
      </c>
      <c r="G5" s="8" t="s">
        <v>270</v>
      </c>
      <c r="H5" s="8" t="s">
        <v>270</v>
      </c>
      <c r="I5" s="8" t="s">
        <v>270</v>
      </c>
      <c r="J5" s="8" t="s">
        <v>270</v>
      </c>
      <c r="K5" s="8" t="s">
        <v>270</v>
      </c>
      <c r="L5" s="8" t="s">
        <v>270</v>
      </c>
      <c r="M5" s="8" t="s">
        <v>48</v>
      </c>
      <c r="N5" s="8" t="s">
        <v>271</v>
      </c>
      <c r="O5" s="8" t="s">
        <v>272</v>
      </c>
      <c r="P5" s="8" t="s">
        <v>273</v>
      </c>
      <c r="Q5" s="8" t="s">
        <v>275</v>
      </c>
      <c r="R5" s="26" t="n">
        <f aca="false">WORKDAY.INTL(DATE(2026,10,15),12,11)</f>
        <v>46324</v>
      </c>
    </row>
    <row r="6" customFormat="false" ht="15" hidden="false" customHeight="false" outlineLevel="0" collapsed="false">
      <c r="A6" s="8" t="s">
        <v>276</v>
      </c>
      <c r="B6" s="8" t="s">
        <v>28</v>
      </c>
      <c r="C6" s="8" t="n">
        <v>1</v>
      </c>
      <c r="D6" s="8" t="s">
        <v>270</v>
      </c>
      <c r="E6" s="8" t="s">
        <v>270</v>
      </c>
      <c r="F6" s="8" t="s">
        <v>270</v>
      </c>
      <c r="G6" s="8" t="s">
        <v>270</v>
      </c>
      <c r="H6" s="8" t="s">
        <v>270</v>
      </c>
      <c r="I6" s="8" t="s">
        <v>270</v>
      </c>
      <c r="J6" s="8" t="s">
        <v>270</v>
      </c>
      <c r="K6" s="8" t="s">
        <v>270</v>
      </c>
      <c r="L6" s="8" t="s">
        <v>48</v>
      </c>
      <c r="M6" s="8" t="s">
        <v>271</v>
      </c>
      <c r="N6" s="8" t="s">
        <v>272</v>
      </c>
      <c r="O6" s="8" t="s">
        <v>273</v>
      </c>
      <c r="P6" s="8" t="s">
        <v>275</v>
      </c>
      <c r="Q6" s="8" t="s">
        <v>277</v>
      </c>
      <c r="R6" s="26" t="n">
        <f aca="false">WORKDAY.INTL(DATE(2026,10,14),12,11)</f>
        <v>46323</v>
      </c>
    </row>
    <row r="7" customFormat="false" ht="15" hidden="false" customHeight="false" outlineLevel="0" collapsed="false">
      <c r="A7" s="8" t="s">
        <v>278</v>
      </c>
      <c r="B7" s="8" t="s">
        <v>28</v>
      </c>
      <c r="C7" s="8" t="n">
        <v>2</v>
      </c>
      <c r="D7" s="8" t="s">
        <v>270</v>
      </c>
      <c r="E7" s="8" t="s">
        <v>270</v>
      </c>
      <c r="F7" s="8" t="s">
        <v>270</v>
      </c>
      <c r="G7" s="8" t="s">
        <v>270</v>
      </c>
      <c r="H7" s="8" t="s">
        <v>270</v>
      </c>
      <c r="I7" s="8" t="s">
        <v>270</v>
      </c>
      <c r="J7" s="8" t="s">
        <v>270</v>
      </c>
      <c r="K7" s="8" t="s">
        <v>48</v>
      </c>
      <c r="L7" s="8" t="s">
        <v>271</v>
      </c>
      <c r="M7" s="8" t="s">
        <v>272</v>
      </c>
      <c r="N7" s="8" t="s">
        <v>273</v>
      </c>
      <c r="O7" s="8" t="s">
        <v>275</v>
      </c>
      <c r="P7" s="8" t="s">
        <v>277</v>
      </c>
      <c r="Q7" s="8" t="s">
        <v>279</v>
      </c>
      <c r="R7" s="26" t="n">
        <f aca="false">WORKDAY.INTL(DATE(2026,10,13),12,11)</f>
        <v>46322</v>
      </c>
    </row>
    <row r="8" customFormat="false" ht="15" hidden="false" customHeight="false" outlineLevel="0" collapsed="false">
      <c r="A8" s="8" t="s">
        <v>278</v>
      </c>
      <c r="B8" s="8" t="s">
        <v>72</v>
      </c>
      <c r="C8" s="8" t="n">
        <v>4</v>
      </c>
      <c r="D8" s="8" t="s">
        <v>270</v>
      </c>
      <c r="E8" s="8" t="s">
        <v>270</v>
      </c>
      <c r="F8" s="8" t="s">
        <v>270</v>
      </c>
      <c r="G8" s="8" t="s">
        <v>270</v>
      </c>
      <c r="H8" s="8" t="s">
        <v>270</v>
      </c>
      <c r="I8" s="8" t="s">
        <v>270</v>
      </c>
      <c r="J8" s="8" t="s">
        <v>270</v>
      </c>
      <c r="K8" s="8" t="s">
        <v>48</v>
      </c>
      <c r="L8" s="8" t="s">
        <v>271</v>
      </c>
      <c r="M8" s="8" t="s">
        <v>272</v>
      </c>
      <c r="N8" s="8" t="s">
        <v>273</v>
      </c>
      <c r="O8" s="8" t="s">
        <v>275</v>
      </c>
      <c r="P8" s="8" t="s">
        <v>277</v>
      </c>
      <c r="Q8" s="8" t="s">
        <v>279</v>
      </c>
      <c r="R8" s="26" t="n">
        <f aca="false">WORKDAY.INTL(DATE(2026,10,13),12,11)</f>
        <v>46322</v>
      </c>
    </row>
    <row r="9" customFormat="false" ht="15" hidden="false" customHeight="false" outlineLevel="0" collapsed="false">
      <c r="A9" s="8" t="s">
        <v>278</v>
      </c>
      <c r="B9" s="8" t="s">
        <v>25</v>
      </c>
      <c r="C9" s="8" t="n">
        <v>1</v>
      </c>
      <c r="D9" s="8" t="s">
        <v>270</v>
      </c>
      <c r="E9" s="8" t="s">
        <v>270</v>
      </c>
      <c r="F9" s="8" t="s">
        <v>270</v>
      </c>
      <c r="G9" s="8" t="s">
        <v>270</v>
      </c>
      <c r="H9" s="8" t="s">
        <v>270</v>
      </c>
      <c r="I9" s="8" t="s">
        <v>270</v>
      </c>
      <c r="J9" s="8" t="s">
        <v>270</v>
      </c>
      <c r="K9" s="8" t="s">
        <v>48</v>
      </c>
      <c r="L9" s="8" t="s">
        <v>271</v>
      </c>
      <c r="M9" s="8" t="s">
        <v>272</v>
      </c>
      <c r="N9" s="8" t="s">
        <v>273</v>
      </c>
      <c r="O9" s="8" t="s">
        <v>275</v>
      </c>
      <c r="P9" s="8" t="s">
        <v>277</v>
      </c>
      <c r="Q9" s="8" t="s">
        <v>279</v>
      </c>
      <c r="R9" s="26" t="n">
        <f aca="false">WORKDAY.INTL(DATE(2026,10,13),12,11)</f>
        <v>46322</v>
      </c>
    </row>
    <row r="10" customFormat="false" ht="15" hidden="false" customHeight="false" outlineLevel="0" collapsed="false">
      <c r="A10" s="8" t="s">
        <v>280</v>
      </c>
      <c r="B10" s="8" t="s">
        <v>28</v>
      </c>
      <c r="C10" s="8" t="n">
        <v>2</v>
      </c>
      <c r="D10" s="8" t="s">
        <v>270</v>
      </c>
      <c r="E10" s="8" t="s">
        <v>270</v>
      </c>
      <c r="F10" s="8" t="s">
        <v>270</v>
      </c>
      <c r="G10" s="8" t="s">
        <v>270</v>
      </c>
      <c r="H10" s="8" t="s">
        <v>270</v>
      </c>
      <c r="I10" s="8" t="s">
        <v>270</v>
      </c>
      <c r="J10" s="8" t="s">
        <v>48</v>
      </c>
      <c r="K10" s="8" t="s">
        <v>271</v>
      </c>
      <c r="L10" s="8" t="s">
        <v>272</v>
      </c>
      <c r="M10" s="8" t="s">
        <v>273</v>
      </c>
      <c r="N10" s="8" t="s">
        <v>275</v>
      </c>
      <c r="O10" s="8" t="s">
        <v>277</v>
      </c>
      <c r="P10" s="8" t="s">
        <v>279</v>
      </c>
      <c r="Q10" s="8" t="s">
        <v>281</v>
      </c>
      <c r="R10" s="26" t="n">
        <f aca="false">WORKDAY.INTL(DATE(2026,10,12),12,11)</f>
        <v>46321</v>
      </c>
    </row>
    <row r="11" customFormat="false" ht="15" hidden="false" customHeight="false" outlineLevel="0" collapsed="false">
      <c r="A11" s="8" t="s">
        <v>280</v>
      </c>
      <c r="B11" s="8" t="s">
        <v>72</v>
      </c>
      <c r="C11" s="8" t="n">
        <v>1</v>
      </c>
      <c r="D11" s="8" t="s">
        <v>270</v>
      </c>
      <c r="E11" s="8" t="s">
        <v>270</v>
      </c>
      <c r="F11" s="8" t="s">
        <v>270</v>
      </c>
      <c r="G11" s="8" t="s">
        <v>270</v>
      </c>
      <c r="H11" s="8" t="s">
        <v>270</v>
      </c>
      <c r="I11" s="8" t="s">
        <v>270</v>
      </c>
      <c r="J11" s="8" t="s">
        <v>48</v>
      </c>
      <c r="K11" s="8" t="s">
        <v>271</v>
      </c>
      <c r="L11" s="8" t="s">
        <v>272</v>
      </c>
      <c r="M11" s="8" t="s">
        <v>273</v>
      </c>
      <c r="N11" s="8" t="s">
        <v>275</v>
      </c>
      <c r="O11" s="8" t="s">
        <v>277</v>
      </c>
      <c r="P11" s="8" t="s">
        <v>279</v>
      </c>
      <c r="Q11" s="8" t="s">
        <v>281</v>
      </c>
      <c r="R11" s="26" t="n">
        <f aca="false">WORKDAY.INTL(DATE(2026,10,12),12,11)</f>
        <v>46321</v>
      </c>
    </row>
    <row r="12" customFormat="false" ht="15" hidden="false" customHeight="false" outlineLevel="0" collapsed="false">
      <c r="A12" s="8" t="s">
        <v>282</v>
      </c>
      <c r="B12" s="8" t="s">
        <v>28</v>
      </c>
      <c r="C12" s="8" t="n">
        <v>6</v>
      </c>
      <c r="D12" s="8" t="s">
        <v>270</v>
      </c>
      <c r="E12" s="8" t="s">
        <v>270</v>
      </c>
      <c r="F12" s="8" t="s">
        <v>270</v>
      </c>
      <c r="G12" s="8" t="s">
        <v>270</v>
      </c>
      <c r="H12" s="8" t="s">
        <v>48</v>
      </c>
      <c r="I12" s="8" t="s">
        <v>271</v>
      </c>
      <c r="J12" s="8" t="s">
        <v>272</v>
      </c>
      <c r="K12" s="8" t="s">
        <v>273</v>
      </c>
      <c r="L12" s="8" t="s">
        <v>275</v>
      </c>
      <c r="M12" s="8" t="s">
        <v>277</v>
      </c>
      <c r="N12" s="8" t="s">
        <v>279</v>
      </c>
      <c r="O12" s="8" t="s">
        <v>281</v>
      </c>
      <c r="P12" s="8" t="s">
        <v>283</v>
      </c>
      <c r="Q12" s="8" t="s">
        <v>284</v>
      </c>
      <c r="R12" s="26" t="n">
        <f aca="false">WORKDAY.INTL(DATE(2026,10,9),12,11)</f>
        <v>46318</v>
      </c>
    </row>
    <row r="13" customFormat="false" ht="15" hidden="false" customHeight="false" outlineLevel="0" collapsed="false">
      <c r="A13" s="8" t="s">
        <v>282</v>
      </c>
      <c r="B13" s="8" t="s">
        <v>72</v>
      </c>
      <c r="C13" s="8" t="n">
        <v>2</v>
      </c>
      <c r="D13" s="8" t="s">
        <v>270</v>
      </c>
      <c r="E13" s="8" t="s">
        <v>270</v>
      </c>
      <c r="F13" s="8" t="s">
        <v>270</v>
      </c>
      <c r="G13" s="8" t="s">
        <v>270</v>
      </c>
      <c r="H13" s="8" t="s">
        <v>48</v>
      </c>
      <c r="I13" s="8" t="s">
        <v>271</v>
      </c>
      <c r="J13" s="8" t="s">
        <v>272</v>
      </c>
      <c r="K13" s="8" t="s">
        <v>273</v>
      </c>
      <c r="L13" s="8" t="s">
        <v>275</v>
      </c>
      <c r="M13" s="8" t="s">
        <v>277</v>
      </c>
      <c r="N13" s="8" t="s">
        <v>279</v>
      </c>
      <c r="O13" s="8" t="s">
        <v>281</v>
      </c>
      <c r="P13" s="8" t="s">
        <v>283</v>
      </c>
      <c r="Q13" s="8" t="s">
        <v>284</v>
      </c>
      <c r="R13" s="26" t="n">
        <f aca="false">WORKDAY.INTL(DATE(2026,10,9),12,11)</f>
        <v>46318</v>
      </c>
    </row>
    <row r="14" customFormat="false" ht="15" hidden="false" customHeight="false" outlineLevel="0" collapsed="false">
      <c r="A14" s="8" t="s">
        <v>285</v>
      </c>
      <c r="B14" s="8" t="s">
        <v>72</v>
      </c>
      <c r="C14" s="8" t="n">
        <v>1</v>
      </c>
      <c r="D14" s="8" t="s">
        <v>270</v>
      </c>
      <c r="E14" s="8" t="s">
        <v>270</v>
      </c>
      <c r="F14" s="8" t="s">
        <v>270</v>
      </c>
      <c r="G14" s="8" t="s">
        <v>48</v>
      </c>
      <c r="H14" s="8" t="s">
        <v>271</v>
      </c>
      <c r="I14" s="8" t="s">
        <v>272</v>
      </c>
      <c r="J14" s="8" t="s">
        <v>273</v>
      </c>
      <c r="K14" s="8" t="s">
        <v>275</v>
      </c>
      <c r="L14" s="8" t="s">
        <v>277</v>
      </c>
      <c r="M14" s="8" t="s">
        <v>279</v>
      </c>
      <c r="N14" s="8" t="s">
        <v>281</v>
      </c>
      <c r="O14" s="8" t="s">
        <v>283</v>
      </c>
      <c r="P14" s="8" t="s">
        <v>284</v>
      </c>
      <c r="Q14" s="8" t="s">
        <v>286</v>
      </c>
      <c r="R14" s="26" t="n">
        <f aca="false">WORKDAY.INTL(DATE(2026,10,8),12,11)</f>
        <v>46317</v>
      </c>
    </row>
    <row r="15" customFormat="false" ht="15" hidden="false" customHeight="false" outlineLevel="0" collapsed="false">
      <c r="A15" s="8" t="s">
        <v>285</v>
      </c>
      <c r="B15" s="8" t="s">
        <v>25</v>
      </c>
      <c r="C15" s="8" t="n">
        <v>3</v>
      </c>
      <c r="D15" s="8" t="s">
        <v>270</v>
      </c>
      <c r="E15" s="8" t="s">
        <v>270</v>
      </c>
      <c r="F15" s="8" t="s">
        <v>270</v>
      </c>
      <c r="G15" s="8" t="s">
        <v>48</v>
      </c>
      <c r="H15" s="8" t="s">
        <v>271</v>
      </c>
      <c r="I15" s="8" t="s">
        <v>272</v>
      </c>
      <c r="J15" s="8" t="s">
        <v>273</v>
      </c>
      <c r="K15" s="8" t="s">
        <v>275</v>
      </c>
      <c r="L15" s="8" t="s">
        <v>277</v>
      </c>
      <c r="M15" s="8" t="s">
        <v>279</v>
      </c>
      <c r="N15" s="8" t="s">
        <v>281</v>
      </c>
      <c r="O15" s="8" t="s">
        <v>283</v>
      </c>
      <c r="P15" s="8" t="s">
        <v>284</v>
      </c>
      <c r="Q15" s="8" t="s">
        <v>286</v>
      </c>
      <c r="R15" s="26" t="n">
        <f aca="false">WORKDAY.INTL(DATE(2026,10,8),12,11)</f>
        <v>46317</v>
      </c>
    </row>
    <row r="16" customFormat="false" ht="15" hidden="false" customHeight="false" outlineLevel="0" collapsed="false">
      <c r="A16" s="8" t="s">
        <v>287</v>
      </c>
      <c r="B16" s="8" t="s">
        <v>28</v>
      </c>
      <c r="C16" s="8" t="n">
        <v>6</v>
      </c>
      <c r="D16" s="8" t="s">
        <v>270</v>
      </c>
      <c r="E16" s="8" t="s">
        <v>270</v>
      </c>
      <c r="F16" s="8" t="s">
        <v>48</v>
      </c>
      <c r="G16" s="8" t="s">
        <v>271</v>
      </c>
      <c r="H16" s="8" t="s">
        <v>272</v>
      </c>
      <c r="I16" s="8" t="s">
        <v>273</v>
      </c>
      <c r="J16" s="8" t="s">
        <v>275</v>
      </c>
      <c r="K16" s="8" t="s">
        <v>277</v>
      </c>
      <c r="L16" s="8" t="s">
        <v>279</v>
      </c>
      <c r="M16" s="8" t="s">
        <v>281</v>
      </c>
      <c r="N16" s="8" t="s">
        <v>283</v>
      </c>
      <c r="O16" s="8" t="s">
        <v>284</v>
      </c>
      <c r="P16" s="8" t="s">
        <v>286</v>
      </c>
      <c r="Q16" s="8" t="s">
        <v>288</v>
      </c>
      <c r="R16" s="26" t="n">
        <f aca="false">WORKDAY.INTL(DATE(2026,10,7),12,11)</f>
        <v>46316</v>
      </c>
    </row>
    <row r="17" customFormat="false" ht="15" hidden="false" customHeight="false" outlineLevel="0" collapsed="false">
      <c r="A17" s="8" t="s">
        <v>287</v>
      </c>
      <c r="B17" s="8" t="s">
        <v>72</v>
      </c>
      <c r="C17" s="8" t="n">
        <v>2</v>
      </c>
      <c r="D17" s="8" t="s">
        <v>270</v>
      </c>
      <c r="E17" s="8" t="s">
        <v>270</v>
      </c>
      <c r="F17" s="8" t="s">
        <v>48</v>
      </c>
      <c r="G17" s="8" t="s">
        <v>271</v>
      </c>
      <c r="H17" s="8" t="s">
        <v>272</v>
      </c>
      <c r="I17" s="8" t="s">
        <v>273</v>
      </c>
      <c r="J17" s="8" t="s">
        <v>275</v>
      </c>
      <c r="K17" s="8" t="s">
        <v>277</v>
      </c>
      <c r="L17" s="8" t="s">
        <v>279</v>
      </c>
      <c r="M17" s="8" t="s">
        <v>281</v>
      </c>
      <c r="N17" s="8" t="s">
        <v>283</v>
      </c>
      <c r="O17" s="8" t="s">
        <v>284</v>
      </c>
      <c r="P17" s="8" t="s">
        <v>286</v>
      </c>
      <c r="Q17" s="8" t="s">
        <v>288</v>
      </c>
      <c r="R17" s="26" t="n">
        <f aca="false">WORKDAY.INTL(DATE(2026,10,7),12,11)</f>
        <v>46316</v>
      </c>
    </row>
    <row r="18" customFormat="false" ht="15" hidden="false" customHeight="false" outlineLevel="0" collapsed="false">
      <c r="A18" s="8" t="s">
        <v>289</v>
      </c>
      <c r="B18" s="8" t="s">
        <v>28</v>
      </c>
      <c r="C18" s="8" t="n">
        <v>7</v>
      </c>
      <c r="D18" s="8" t="s">
        <v>270</v>
      </c>
      <c r="E18" s="8" t="s">
        <v>48</v>
      </c>
      <c r="F18" s="8" t="s">
        <v>271</v>
      </c>
      <c r="G18" s="8" t="s">
        <v>272</v>
      </c>
      <c r="H18" s="8" t="s">
        <v>273</v>
      </c>
      <c r="I18" s="8" t="s">
        <v>275</v>
      </c>
      <c r="J18" s="8" t="s">
        <v>277</v>
      </c>
      <c r="K18" s="8" t="s">
        <v>279</v>
      </c>
      <c r="L18" s="8" t="s">
        <v>281</v>
      </c>
      <c r="M18" s="8" t="s">
        <v>283</v>
      </c>
      <c r="N18" s="8" t="s">
        <v>284</v>
      </c>
      <c r="O18" s="8" t="s">
        <v>286</v>
      </c>
      <c r="P18" s="8" t="s">
        <v>288</v>
      </c>
      <c r="Q18" s="8" t="s">
        <v>290</v>
      </c>
      <c r="R18" s="26" t="n">
        <f aca="false">WORKDAY.INTL(DATE(2026,10,6),12,11)</f>
        <v>46315</v>
      </c>
    </row>
    <row r="19" customFormat="false" ht="15" hidden="false" customHeight="false" outlineLevel="0" collapsed="false">
      <c r="A19" s="8" t="s">
        <v>289</v>
      </c>
      <c r="B19" s="8" t="s">
        <v>72</v>
      </c>
      <c r="C19" s="8" t="n">
        <v>4</v>
      </c>
      <c r="D19" s="8" t="s">
        <v>270</v>
      </c>
      <c r="E19" s="8" t="s">
        <v>48</v>
      </c>
      <c r="F19" s="8" t="s">
        <v>271</v>
      </c>
      <c r="G19" s="8" t="s">
        <v>272</v>
      </c>
      <c r="H19" s="8" t="s">
        <v>273</v>
      </c>
      <c r="I19" s="8" t="s">
        <v>275</v>
      </c>
      <c r="J19" s="8" t="s">
        <v>277</v>
      </c>
      <c r="K19" s="8" t="s">
        <v>279</v>
      </c>
      <c r="L19" s="8" t="s">
        <v>281</v>
      </c>
      <c r="M19" s="8" t="s">
        <v>283</v>
      </c>
      <c r="N19" s="8" t="s">
        <v>284</v>
      </c>
      <c r="O19" s="8" t="s">
        <v>286</v>
      </c>
      <c r="P19" s="8" t="s">
        <v>288</v>
      </c>
      <c r="Q19" s="8" t="s">
        <v>290</v>
      </c>
      <c r="R19" s="26" t="n">
        <f aca="false">WORKDAY.INTL(DATE(2026,10,6),12,11)</f>
        <v>46315</v>
      </c>
    </row>
    <row r="20" customFormat="false" ht="15" hidden="false" customHeight="false" outlineLevel="0" collapsed="false">
      <c r="A20" s="8" t="s">
        <v>289</v>
      </c>
      <c r="B20" s="8" t="s">
        <v>25</v>
      </c>
      <c r="C20" s="8" t="n">
        <v>3</v>
      </c>
      <c r="D20" s="8" t="s">
        <v>270</v>
      </c>
      <c r="E20" s="8" t="s">
        <v>48</v>
      </c>
      <c r="F20" s="8" t="s">
        <v>271</v>
      </c>
      <c r="G20" s="8" t="s">
        <v>272</v>
      </c>
      <c r="H20" s="8" t="s">
        <v>273</v>
      </c>
      <c r="I20" s="8" t="s">
        <v>275</v>
      </c>
      <c r="J20" s="8" t="s">
        <v>277</v>
      </c>
      <c r="K20" s="8" t="s">
        <v>279</v>
      </c>
      <c r="L20" s="8" t="s">
        <v>281</v>
      </c>
      <c r="M20" s="8" t="s">
        <v>283</v>
      </c>
      <c r="N20" s="8" t="s">
        <v>284</v>
      </c>
      <c r="O20" s="8" t="s">
        <v>286</v>
      </c>
      <c r="P20" s="8" t="s">
        <v>288</v>
      </c>
      <c r="Q20" s="8" t="s">
        <v>290</v>
      </c>
      <c r="R20" s="26" t="n">
        <f aca="false">WORKDAY.INTL(DATE(2026,10,6),12,11)</f>
        <v>46315</v>
      </c>
    </row>
    <row r="21" customFormat="false" ht="15" hidden="false" customHeight="false" outlineLevel="0" collapsed="false">
      <c r="A21" s="8" t="s">
        <v>291</v>
      </c>
      <c r="B21" s="8" t="s">
        <v>28</v>
      </c>
      <c r="C21" s="8" t="n">
        <v>6</v>
      </c>
      <c r="D21" s="8" t="s">
        <v>48</v>
      </c>
      <c r="E21" s="8" t="s">
        <v>271</v>
      </c>
      <c r="F21" s="8" t="s">
        <v>272</v>
      </c>
      <c r="G21" s="8" t="s">
        <v>273</v>
      </c>
      <c r="H21" s="8" t="s">
        <v>275</v>
      </c>
      <c r="I21" s="8" t="s">
        <v>277</v>
      </c>
      <c r="J21" s="8" t="s">
        <v>279</v>
      </c>
      <c r="K21" s="8" t="s">
        <v>281</v>
      </c>
      <c r="L21" s="8" t="s">
        <v>283</v>
      </c>
      <c r="M21" s="8" t="s">
        <v>284</v>
      </c>
      <c r="N21" s="8" t="s">
        <v>286</v>
      </c>
      <c r="O21" s="8" t="s">
        <v>288</v>
      </c>
      <c r="P21" s="8" t="s">
        <v>290</v>
      </c>
      <c r="Q21" s="8" t="s">
        <v>292</v>
      </c>
      <c r="R21" s="26" t="n">
        <f aca="false">WORKDAY.INTL(DATE(2026,10,5),12,11)</f>
        <v>46314</v>
      </c>
    </row>
    <row r="22" customFormat="false" ht="15" hidden="false" customHeight="false" outlineLevel="0" collapsed="false">
      <c r="A22" s="13" t="s">
        <v>293</v>
      </c>
      <c r="B22" s="13" t="s">
        <v>28</v>
      </c>
      <c r="C22" s="13" t="n">
        <v>7</v>
      </c>
      <c r="D22" s="13" t="s">
        <v>277</v>
      </c>
      <c r="E22" s="13" t="s">
        <v>279</v>
      </c>
      <c r="F22" s="13" t="s">
        <v>281</v>
      </c>
      <c r="G22" s="13" t="s">
        <v>283</v>
      </c>
      <c r="H22" s="13" t="s">
        <v>284</v>
      </c>
      <c r="I22" s="13" t="s">
        <v>286</v>
      </c>
      <c r="J22" s="13" t="s">
        <v>288</v>
      </c>
      <c r="K22" s="13" t="s">
        <v>290</v>
      </c>
      <c r="L22" s="13" t="s">
        <v>292</v>
      </c>
      <c r="M22" s="13" t="s">
        <v>292</v>
      </c>
      <c r="N22" s="13" t="s">
        <v>292</v>
      </c>
      <c r="O22" s="13" t="s">
        <v>292</v>
      </c>
      <c r="P22" s="13" t="s">
        <v>292</v>
      </c>
      <c r="Q22" s="13" t="s">
        <v>292</v>
      </c>
      <c r="R22" s="27" t="n">
        <f aca="false">WORKDAY.INTL(DATE(2026,10,5),7,11)</f>
        <v>46308</v>
      </c>
    </row>
    <row r="23" customFormat="false" ht="15" hidden="false" customHeight="false" outlineLevel="0" collapsed="false">
      <c r="A23" s="13" t="s">
        <v>294</v>
      </c>
      <c r="B23" s="13" t="s">
        <v>28</v>
      </c>
      <c r="C23" s="13" t="n">
        <v>3</v>
      </c>
      <c r="D23" s="13" t="s">
        <v>286</v>
      </c>
      <c r="E23" s="13" t="s">
        <v>288</v>
      </c>
      <c r="F23" s="13" t="s">
        <v>290</v>
      </c>
      <c r="G23" s="13" t="s">
        <v>292</v>
      </c>
      <c r="H23" s="13" t="s">
        <v>292</v>
      </c>
      <c r="I23" s="13" t="s">
        <v>292</v>
      </c>
      <c r="J23" s="13" t="s">
        <v>292</v>
      </c>
      <c r="K23" s="13" t="s">
        <v>292</v>
      </c>
      <c r="L23" s="13" t="s">
        <v>292</v>
      </c>
      <c r="M23" s="13" t="s">
        <v>292</v>
      </c>
      <c r="N23" s="13" t="s">
        <v>292</v>
      </c>
      <c r="O23" s="13" t="s">
        <v>292</v>
      </c>
      <c r="P23" s="13" t="s">
        <v>292</v>
      </c>
      <c r="Q23" s="13" t="s">
        <v>292</v>
      </c>
      <c r="R23" s="27" t="n">
        <f aca="false">WORKDAY.INTL(DATE(2026,10,5),2,11)</f>
        <v>46302</v>
      </c>
    </row>
    <row r="24" customFormat="false" ht="15" hidden="false" customHeight="false" outlineLevel="0" collapsed="false">
      <c r="A24" s="13" t="s">
        <v>295</v>
      </c>
      <c r="B24" s="13" t="s">
        <v>28</v>
      </c>
      <c r="C24" s="13" t="n">
        <v>5</v>
      </c>
      <c r="D24" s="13" t="s">
        <v>277</v>
      </c>
      <c r="E24" s="13" t="s">
        <v>279</v>
      </c>
      <c r="F24" s="13" t="s">
        <v>281</v>
      </c>
      <c r="G24" s="13" t="s">
        <v>283</v>
      </c>
      <c r="H24" s="13" t="s">
        <v>284</v>
      </c>
      <c r="I24" s="13" t="s">
        <v>286</v>
      </c>
      <c r="J24" s="13" t="s">
        <v>288</v>
      </c>
      <c r="K24" s="13" t="s">
        <v>290</v>
      </c>
      <c r="L24" s="13" t="s">
        <v>292</v>
      </c>
      <c r="M24" s="13" t="s">
        <v>292</v>
      </c>
      <c r="N24" s="13" t="s">
        <v>292</v>
      </c>
      <c r="O24" s="13" t="s">
        <v>292</v>
      </c>
      <c r="P24" s="13" t="s">
        <v>292</v>
      </c>
      <c r="Q24" s="13" t="s">
        <v>292</v>
      </c>
      <c r="R24" s="27" t="n">
        <f aca="false">WORKDAY.INTL(DATE(2026,10,5),7,11)</f>
        <v>46308</v>
      </c>
    </row>
    <row r="25" customFormat="false" ht="15" hidden="false" customHeight="false" outlineLevel="0" collapsed="false">
      <c r="A25" s="13" t="s">
        <v>296</v>
      </c>
      <c r="B25" s="13" t="s">
        <v>28</v>
      </c>
      <c r="C25" s="13" t="n">
        <v>1</v>
      </c>
      <c r="D25" s="13" t="s">
        <v>277</v>
      </c>
      <c r="E25" s="13" t="s">
        <v>279</v>
      </c>
      <c r="F25" s="13" t="s">
        <v>281</v>
      </c>
      <c r="G25" s="13" t="s">
        <v>283</v>
      </c>
      <c r="H25" s="13" t="s">
        <v>284</v>
      </c>
      <c r="I25" s="13" t="s">
        <v>286</v>
      </c>
      <c r="J25" s="13" t="s">
        <v>288</v>
      </c>
      <c r="K25" s="13" t="s">
        <v>290</v>
      </c>
      <c r="L25" s="13" t="s">
        <v>292</v>
      </c>
      <c r="M25" s="13" t="s">
        <v>292</v>
      </c>
      <c r="N25" s="13" t="s">
        <v>292</v>
      </c>
      <c r="O25" s="13" t="s">
        <v>292</v>
      </c>
      <c r="P25" s="13" t="s">
        <v>292</v>
      </c>
      <c r="Q25" s="13" t="s">
        <v>292</v>
      </c>
      <c r="R25" s="27" t="n">
        <f aca="false">WORKDAY.INTL(DATE(2026,10,5),7,11)</f>
        <v>46308</v>
      </c>
    </row>
    <row r="26" customFormat="false" ht="15" hidden="false" customHeight="false" outlineLevel="0" collapsed="false">
      <c r="A26" s="13" t="s">
        <v>297</v>
      </c>
      <c r="B26" s="13" t="s">
        <v>28</v>
      </c>
      <c r="C26" s="13" t="n">
        <v>3</v>
      </c>
      <c r="D26" s="13" t="s">
        <v>279</v>
      </c>
      <c r="E26" s="13" t="s">
        <v>281</v>
      </c>
      <c r="F26" s="13" t="s">
        <v>283</v>
      </c>
      <c r="G26" s="13" t="s">
        <v>284</v>
      </c>
      <c r="H26" s="13" t="s">
        <v>286</v>
      </c>
      <c r="I26" s="13" t="s">
        <v>288</v>
      </c>
      <c r="J26" s="13" t="s">
        <v>290</v>
      </c>
      <c r="K26" s="13" t="s">
        <v>292</v>
      </c>
      <c r="L26" s="13" t="s">
        <v>292</v>
      </c>
      <c r="M26" s="13" t="s">
        <v>292</v>
      </c>
      <c r="N26" s="13" t="s">
        <v>292</v>
      </c>
      <c r="O26" s="13" t="s">
        <v>292</v>
      </c>
      <c r="P26" s="13" t="s">
        <v>292</v>
      </c>
      <c r="Q26" s="13" t="s">
        <v>292</v>
      </c>
      <c r="R26" s="27" t="n">
        <f aca="false">WORKDAY.INTL(DATE(2026,10,5),6,11)</f>
        <v>46307</v>
      </c>
    </row>
    <row r="27" customFormat="false" ht="15" hidden="false" customHeight="false" outlineLevel="0" collapsed="false">
      <c r="A27" s="13" t="s">
        <v>298</v>
      </c>
      <c r="B27" s="13" t="s">
        <v>25</v>
      </c>
      <c r="C27" s="13" t="n">
        <v>2</v>
      </c>
      <c r="D27" s="13" t="s">
        <v>277</v>
      </c>
      <c r="E27" s="13" t="s">
        <v>279</v>
      </c>
      <c r="F27" s="13" t="s">
        <v>281</v>
      </c>
      <c r="G27" s="13" t="s">
        <v>283</v>
      </c>
      <c r="H27" s="13" t="s">
        <v>284</v>
      </c>
      <c r="I27" s="13" t="s">
        <v>286</v>
      </c>
      <c r="J27" s="13" t="s">
        <v>288</v>
      </c>
      <c r="K27" s="13" t="s">
        <v>290</v>
      </c>
      <c r="L27" s="13" t="s">
        <v>292</v>
      </c>
      <c r="M27" s="13" t="s">
        <v>292</v>
      </c>
      <c r="N27" s="13" t="s">
        <v>292</v>
      </c>
      <c r="O27" s="13" t="s">
        <v>292</v>
      </c>
      <c r="P27" s="13" t="s">
        <v>292</v>
      </c>
      <c r="Q27" s="13" t="s">
        <v>292</v>
      </c>
      <c r="R27" s="27" t="n">
        <f aca="false">WORKDAY.INTL(DATE(2026,10,5),7,11)</f>
        <v>46308</v>
      </c>
    </row>
    <row r="28" customFormat="false" ht="15" hidden="false" customHeight="false" outlineLevel="0" collapsed="false">
      <c r="A28" s="13" t="s">
        <v>299</v>
      </c>
      <c r="B28" s="13" t="s">
        <v>25</v>
      </c>
      <c r="C28" s="13" t="n">
        <v>4</v>
      </c>
      <c r="D28" s="13" t="s">
        <v>277</v>
      </c>
      <c r="E28" s="13" t="s">
        <v>279</v>
      </c>
      <c r="F28" s="13" t="s">
        <v>281</v>
      </c>
      <c r="G28" s="13" t="s">
        <v>283</v>
      </c>
      <c r="H28" s="13" t="s">
        <v>284</v>
      </c>
      <c r="I28" s="13" t="s">
        <v>286</v>
      </c>
      <c r="J28" s="13" t="s">
        <v>288</v>
      </c>
      <c r="K28" s="13" t="s">
        <v>290</v>
      </c>
      <c r="L28" s="13" t="s">
        <v>292</v>
      </c>
      <c r="M28" s="13" t="s">
        <v>292</v>
      </c>
      <c r="N28" s="13" t="s">
        <v>292</v>
      </c>
      <c r="O28" s="13" t="s">
        <v>292</v>
      </c>
      <c r="P28" s="13" t="s">
        <v>292</v>
      </c>
      <c r="Q28" s="13" t="s">
        <v>292</v>
      </c>
      <c r="R28" s="27" t="n">
        <f aca="false">WORKDAY.INTL(DATE(2026,10,5),7,11)</f>
        <v>46308</v>
      </c>
    </row>
    <row r="29" customFormat="false" ht="15" hidden="false" customHeight="false" outlineLevel="0" collapsed="false">
      <c r="A29" s="13" t="s">
        <v>294</v>
      </c>
      <c r="B29" s="13" t="s">
        <v>25</v>
      </c>
      <c r="C29" s="13" t="n">
        <v>9</v>
      </c>
      <c r="D29" s="13" t="s">
        <v>286</v>
      </c>
      <c r="E29" s="13" t="s">
        <v>288</v>
      </c>
      <c r="F29" s="13" t="s">
        <v>290</v>
      </c>
      <c r="G29" s="13" t="s">
        <v>292</v>
      </c>
      <c r="H29" s="13" t="s">
        <v>292</v>
      </c>
      <c r="I29" s="13" t="s">
        <v>292</v>
      </c>
      <c r="J29" s="13" t="s">
        <v>292</v>
      </c>
      <c r="K29" s="13" t="s">
        <v>292</v>
      </c>
      <c r="L29" s="13" t="s">
        <v>292</v>
      </c>
      <c r="M29" s="13" t="s">
        <v>292</v>
      </c>
      <c r="N29" s="13" t="s">
        <v>292</v>
      </c>
      <c r="O29" s="13" t="s">
        <v>292</v>
      </c>
      <c r="P29" s="13" t="s">
        <v>292</v>
      </c>
      <c r="Q29" s="13" t="s">
        <v>292</v>
      </c>
      <c r="R29" s="27" t="n">
        <f aca="false">WORKDAY.INTL(DATE(2026,10,5),2,11)</f>
        <v>46302</v>
      </c>
    </row>
    <row r="30" customFormat="false" ht="15" hidden="false" customHeight="false" outlineLevel="0" collapsed="false">
      <c r="A30" s="13" t="s">
        <v>295</v>
      </c>
      <c r="B30" s="13" t="s">
        <v>25</v>
      </c>
      <c r="C30" s="13" t="n">
        <v>3</v>
      </c>
      <c r="D30" s="13" t="s">
        <v>277</v>
      </c>
      <c r="E30" s="13" t="s">
        <v>279</v>
      </c>
      <c r="F30" s="13" t="s">
        <v>281</v>
      </c>
      <c r="G30" s="13" t="s">
        <v>283</v>
      </c>
      <c r="H30" s="13" t="s">
        <v>284</v>
      </c>
      <c r="I30" s="13" t="s">
        <v>286</v>
      </c>
      <c r="J30" s="13" t="s">
        <v>288</v>
      </c>
      <c r="K30" s="13" t="s">
        <v>290</v>
      </c>
      <c r="L30" s="13" t="s">
        <v>292</v>
      </c>
      <c r="M30" s="13" t="s">
        <v>292</v>
      </c>
      <c r="N30" s="13" t="s">
        <v>292</v>
      </c>
      <c r="O30" s="13" t="s">
        <v>292</v>
      </c>
      <c r="P30" s="13" t="s">
        <v>292</v>
      </c>
      <c r="Q30" s="13" t="s">
        <v>292</v>
      </c>
      <c r="R30" s="27" t="n">
        <f aca="false">WORKDAY.INTL(DATE(2026,10,5),7,11)</f>
        <v>46308</v>
      </c>
    </row>
    <row r="31" customFormat="false" ht="15" hidden="false" customHeight="false" outlineLevel="0" collapsed="false">
      <c r="A31" s="13" t="s">
        <v>296</v>
      </c>
      <c r="B31" s="13" t="s">
        <v>25</v>
      </c>
      <c r="C31" s="13" t="n">
        <v>1</v>
      </c>
      <c r="D31" s="13" t="s">
        <v>277</v>
      </c>
      <c r="E31" s="13" t="s">
        <v>279</v>
      </c>
      <c r="F31" s="13" t="s">
        <v>281</v>
      </c>
      <c r="G31" s="13" t="s">
        <v>283</v>
      </c>
      <c r="H31" s="13" t="s">
        <v>284</v>
      </c>
      <c r="I31" s="13" t="s">
        <v>286</v>
      </c>
      <c r="J31" s="13" t="s">
        <v>288</v>
      </c>
      <c r="K31" s="13" t="s">
        <v>290</v>
      </c>
      <c r="L31" s="13" t="s">
        <v>292</v>
      </c>
      <c r="M31" s="13" t="s">
        <v>292</v>
      </c>
      <c r="N31" s="13" t="s">
        <v>292</v>
      </c>
      <c r="O31" s="13" t="s">
        <v>292</v>
      </c>
      <c r="P31" s="13" t="s">
        <v>292</v>
      </c>
      <c r="Q31" s="13" t="s">
        <v>292</v>
      </c>
      <c r="R31" s="27" t="n">
        <f aca="false">WORKDAY.INTL(DATE(2026,10,5),7,11)</f>
        <v>46308</v>
      </c>
    </row>
    <row r="32" customFormat="false" ht="15" hidden="false" customHeight="false" outlineLevel="0" collapsed="false">
      <c r="A32" s="13" t="s">
        <v>299</v>
      </c>
      <c r="B32" s="13" t="s">
        <v>68</v>
      </c>
      <c r="C32" s="13" t="n">
        <v>1</v>
      </c>
      <c r="D32" s="13" t="s">
        <v>277</v>
      </c>
      <c r="E32" s="13" t="s">
        <v>279</v>
      </c>
      <c r="F32" s="13" t="s">
        <v>281</v>
      </c>
      <c r="G32" s="13" t="s">
        <v>283</v>
      </c>
      <c r="H32" s="13" t="s">
        <v>284</v>
      </c>
      <c r="I32" s="13" t="s">
        <v>286</v>
      </c>
      <c r="J32" s="13" t="s">
        <v>288</v>
      </c>
      <c r="K32" s="13" t="s">
        <v>290</v>
      </c>
      <c r="L32" s="13" t="s">
        <v>292</v>
      </c>
      <c r="M32" s="13" t="s">
        <v>292</v>
      </c>
      <c r="N32" s="13" t="s">
        <v>292</v>
      </c>
      <c r="O32" s="13" t="s">
        <v>292</v>
      </c>
      <c r="P32" s="13" t="s">
        <v>292</v>
      </c>
      <c r="Q32" s="13" t="s">
        <v>292</v>
      </c>
      <c r="R32" s="27" t="n">
        <f aca="false">WORKDAY.INTL(DATE(2026,10,5),7,11)</f>
        <v>46308</v>
      </c>
    </row>
    <row r="33" customFormat="false" ht="15" hidden="false" customHeight="false" outlineLevel="0" collapsed="false">
      <c r="A33" s="13" t="s">
        <v>294</v>
      </c>
      <c r="B33" s="13" t="s">
        <v>68</v>
      </c>
      <c r="C33" s="13" t="n">
        <v>1</v>
      </c>
      <c r="D33" s="13" t="s">
        <v>277</v>
      </c>
      <c r="E33" s="13" t="s">
        <v>279</v>
      </c>
      <c r="F33" s="13" t="s">
        <v>281</v>
      </c>
      <c r="G33" s="13" t="s">
        <v>283</v>
      </c>
      <c r="H33" s="13" t="s">
        <v>284</v>
      </c>
      <c r="I33" s="13" t="s">
        <v>286</v>
      </c>
      <c r="J33" s="13" t="s">
        <v>288</v>
      </c>
      <c r="K33" s="13" t="s">
        <v>290</v>
      </c>
      <c r="L33" s="13" t="s">
        <v>292</v>
      </c>
      <c r="M33" s="13" t="s">
        <v>292</v>
      </c>
      <c r="N33" s="13" t="s">
        <v>292</v>
      </c>
      <c r="O33" s="13" t="s">
        <v>292</v>
      </c>
      <c r="P33" s="13" t="s">
        <v>292</v>
      </c>
      <c r="Q33" s="13" t="s">
        <v>292</v>
      </c>
      <c r="R33" s="27" t="n">
        <f aca="false">WORKDAY.INTL(DATE(2026,10,5),7,11)</f>
        <v>46308</v>
      </c>
    </row>
    <row r="34" customFormat="false" ht="15" hidden="false" customHeight="false" outlineLevel="0" collapsed="false">
      <c r="A34" s="13" t="s">
        <v>295</v>
      </c>
      <c r="B34" s="13" t="s">
        <v>68</v>
      </c>
      <c r="C34" s="13" t="n">
        <v>2</v>
      </c>
      <c r="D34" s="13" t="s">
        <v>277</v>
      </c>
      <c r="E34" s="13" t="s">
        <v>279</v>
      </c>
      <c r="F34" s="13" t="s">
        <v>281</v>
      </c>
      <c r="G34" s="13" t="s">
        <v>283</v>
      </c>
      <c r="H34" s="13" t="s">
        <v>284</v>
      </c>
      <c r="I34" s="13" t="s">
        <v>286</v>
      </c>
      <c r="J34" s="13" t="s">
        <v>288</v>
      </c>
      <c r="K34" s="13" t="s">
        <v>290</v>
      </c>
      <c r="L34" s="13" t="s">
        <v>292</v>
      </c>
      <c r="M34" s="13" t="s">
        <v>292</v>
      </c>
      <c r="N34" s="13" t="s">
        <v>292</v>
      </c>
      <c r="O34" s="13" t="s">
        <v>292</v>
      </c>
      <c r="P34" s="13" t="s">
        <v>292</v>
      </c>
      <c r="Q34" s="13" t="s">
        <v>292</v>
      </c>
      <c r="R34" s="27" t="n">
        <f aca="false">WORKDAY.INTL(DATE(2026,10,5),7,11)</f>
        <v>46308</v>
      </c>
    </row>
    <row r="35" customFormat="false" ht="15" hidden="false" customHeight="false" outlineLevel="0" collapsed="false">
      <c r="A35" s="13" t="s">
        <v>300</v>
      </c>
      <c r="B35" s="13" t="s">
        <v>68</v>
      </c>
      <c r="C35" s="13" t="n">
        <v>1</v>
      </c>
      <c r="D35" s="13" t="s">
        <v>277</v>
      </c>
      <c r="E35" s="13" t="s">
        <v>279</v>
      </c>
      <c r="F35" s="13" t="s">
        <v>281</v>
      </c>
      <c r="G35" s="13" t="s">
        <v>283</v>
      </c>
      <c r="H35" s="13" t="s">
        <v>284</v>
      </c>
      <c r="I35" s="13" t="s">
        <v>286</v>
      </c>
      <c r="J35" s="13" t="s">
        <v>288</v>
      </c>
      <c r="K35" s="13" t="s">
        <v>290</v>
      </c>
      <c r="L35" s="13" t="s">
        <v>292</v>
      </c>
      <c r="M35" s="13" t="s">
        <v>292</v>
      </c>
      <c r="N35" s="13" t="s">
        <v>292</v>
      </c>
      <c r="O35" s="13" t="s">
        <v>292</v>
      </c>
      <c r="P35" s="13" t="s">
        <v>292</v>
      </c>
      <c r="Q35" s="13" t="s">
        <v>292</v>
      </c>
      <c r="R35" s="27" t="n">
        <f aca="false">WORKDAY.INTL(DATE(2026,10,5),7,11)</f>
        <v>46308</v>
      </c>
    </row>
    <row r="36" customFormat="false" ht="15" hidden="false" customHeight="false" outlineLevel="0" collapsed="false">
      <c r="A36" s="13" t="s">
        <v>294</v>
      </c>
      <c r="B36" s="13" t="s">
        <v>72</v>
      </c>
      <c r="C36" s="13" t="n">
        <v>3</v>
      </c>
      <c r="D36" s="13" t="s">
        <v>275</v>
      </c>
      <c r="E36" s="13" t="s">
        <v>277</v>
      </c>
      <c r="F36" s="13" t="s">
        <v>279</v>
      </c>
      <c r="G36" s="13" t="s">
        <v>281</v>
      </c>
      <c r="H36" s="13" t="s">
        <v>283</v>
      </c>
      <c r="I36" s="13" t="s">
        <v>284</v>
      </c>
      <c r="J36" s="13" t="s">
        <v>286</v>
      </c>
      <c r="K36" s="13" t="s">
        <v>288</v>
      </c>
      <c r="L36" s="13" t="s">
        <v>290</v>
      </c>
      <c r="M36" s="13" t="s">
        <v>292</v>
      </c>
      <c r="N36" s="13" t="s">
        <v>292</v>
      </c>
      <c r="O36" s="13" t="s">
        <v>292</v>
      </c>
      <c r="P36" s="13" t="s">
        <v>292</v>
      </c>
      <c r="Q36" s="13" t="s">
        <v>292</v>
      </c>
      <c r="R36" s="27" t="n">
        <f aca="false">WORKDAY.INTL(DATE(2026,10,5),8,11)</f>
        <v>46309</v>
      </c>
    </row>
    <row r="37" customFormat="false" ht="15" hidden="false" customHeight="false" outlineLevel="0" collapsed="false">
      <c r="A37" s="13" t="s">
        <v>296</v>
      </c>
      <c r="B37" s="13" t="s">
        <v>72</v>
      </c>
      <c r="C37" s="13" t="n">
        <v>1</v>
      </c>
      <c r="D37" s="13" t="s">
        <v>275</v>
      </c>
      <c r="E37" s="13" t="s">
        <v>277</v>
      </c>
      <c r="F37" s="13" t="s">
        <v>279</v>
      </c>
      <c r="G37" s="13" t="s">
        <v>281</v>
      </c>
      <c r="H37" s="13" t="s">
        <v>283</v>
      </c>
      <c r="I37" s="13" t="s">
        <v>284</v>
      </c>
      <c r="J37" s="13" t="s">
        <v>286</v>
      </c>
      <c r="K37" s="13" t="s">
        <v>288</v>
      </c>
      <c r="L37" s="13" t="s">
        <v>290</v>
      </c>
      <c r="M37" s="13" t="s">
        <v>292</v>
      </c>
      <c r="N37" s="13" t="s">
        <v>292</v>
      </c>
      <c r="O37" s="13" t="s">
        <v>292</v>
      </c>
      <c r="P37" s="13" t="s">
        <v>292</v>
      </c>
      <c r="Q37" s="13" t="s">
        <v>292</v>
      </c>
      <c r="R37" s="27" t="n">
        <f aca="false">WORKDAY.INTL(DATE(2026,10,5),8,11)</f>
        <v>46309</v>
      </c>
    </row>
    <row r="39" customFormat="false" ht="15" hidden="false" customHeight="false" outlineLevel="0" collapsed="false">
      <c r="A39" s="20" t="s">
        <v>301</v>
      </c>
    </row>
    <row r="40" customFormat="false" ht="15" hidden="false" customHeight="false" outlineLevel="0" collapsed="false">
      <c r="A40" s="20" t="s">
        <v>302</v>
      </c>
    </row>
    <row r="41" customFormat="false" ht="15" hidden="false" customHeight="false" outlineLevel="0" collapsed="false">
      <c r="A41" s="20" t="s">
        <v>303</v>
      </c>
    </row>
    <row r="42" customFormat="false" ht="15" hidden="false" customHeight="false" outlineLevel="0" collapsed="false">
      <c r="A42" s="20" t="s">
        <v>304</v>
      </c>
    </row>
    <row r="43" customFormat="false" ht="15" hidden="false" customHeight="false" outlineLevel="0" collapsed="false">
      <c r="A43" s="20" t="s">
        <v>305</v>
      </c>
    </row>
    <row r="44" customFormat="false" ht="15" hidden="false" customHeight="false" outlineLevel="0" collapsed="false">
      <c r="A44" s="20" t="s">
        <v>306</v>
      </c>
    </row>
    <row r="45" customFormat="false" ht="15" hidden="false" customHeight="false" outlineLevel="0" collapsed="false">
      <c r="A45" s="20" t="s">
        <v>307</v>
      </c>
    </row>
    <row r="46" customFormat="false" ht="15" hidden="false" customHeight="false" outlineLevel="0" collapsed="false">
      <c r="A46" s="20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309</v>
      </c>
    </row>
    <row r="3" customFormat="false" ht="31.5" hidden="false" customHeight="true" outlineLevel="0" collapsed="false">
      <c r="A3" s="2" t="s">
        <v>252</v>
      </c>
      <c r="B3" s="2" t="s">
        <v>253</v>
      </c>
      <c r="C3" s="2" t="s">
        <v>16</v>
      </c>
      <c r="D3" s="2" t="s">
        <v>310</v>
      </c>
      <c r="E3" s="2" t="s">
        <v>271</v>
      </c>
      <c r="F3" s="2" t="s">
        <v>272</v>
      </c>
      <c r="G3" s="2" t="s">
        <v>273</v>
      </c>
      <c r="H3" s="2" t="s">
        <v>275</v>
      </c>
      <c r="I3" s="2" t="s">
        <v>277</v>
      </c>
      <c r="J3" s="2" t="s">
        <v>279</v>
      </c>
      <c r="K3" s="2" t="s">
        <v>281</v>
      </c>
      <c r="L3" s="2" t="s">
        <v>283</v>
      </c>
      <c r="M3" s="2" t="s">
        <v>284</v>
      </c>
      <c r="N3" s="2" t="s">
        <v>286</v>
      </c>
      <c r="O3" s="2" t="s">
        <v>288</v>
      </c>
      <c r="P3" s="2" t="s">
        <v>290</v>
      </c>
    </row>
    <row r="4" customFormat="false" ht="15" hidden="false" customHeight="false" outlineLevel="0" collapsed="false">
      <c r="A4" s="3" t="s">
        <v>291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289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289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289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287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287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285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285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282</v>
      </c>
      <c r="B12" s="3" t="s">
        <v>28</v>
      </c>
      <c r="C12" s="3" t="n">
        <v>6</v>
      </c>
      <c r="D12" s="28" t="n">
        <f aca="false">DATE(2026,10,9)</f>
        <v>46304</v>
      </c>
      <c r="E12" s="28" t="n">
        <f aca="false">WORKDAY.INTL(D12,1,11)</f>
        <v>46305</v>
      </c>
      <c r="F12" s="28" t="n">
        <f aca="false">WORKDAY.INTL(E12,1,11)</f>
        <v>46307</v>
      </c>
      <c r="G12" s="28" t="n">
        <f aca="false">WORKDAY.INTL(F12,1,11)</f>
        <v>46308</v>
      </c>
      <c r="H12" s="28" t="n">
        <f aca="false">WORKDAY.INTL(G12,1,11)</f>
        <v>46309</v>
      </c>
      <c r="I12" s="28" t="n">
        <f aca="false">WORKDAY.INTL(H12,1,11)</f>
        <v>46310</v>
      </c>
      <c r="J12" s="28" t="n">
        <f aca="false">WORKDAY.INTL(I12,1,11)</f>
        <v>46311</v>
      </c>
      <c r="K12" s="28" t="n">
        <f aca="false">WORKDAY.INTL(J12,1,11)</f>
        <v>46312</v>
      </c>
      <c r="L12" s="28" t="n">
        <f aca="false">WORKDAY.INTL(K12,1,11)</f>
        <v>46314</v>
      </c>
      <c r="M12" s="28" t="n">
        <f aca="false">WORKDAY.INTL(L12,1,11)</f>
        <v>46315</v>
      </c>
      <c r="N12" s="28" t="n">
        <f aca="false">WORKDAY.INTL(M12,1,11)</f>
        <v>46316</v>
      </c>
      <c r="O12" s="28" t="n">
        <f aca="false">WORKDAY.INTL(N12,1,11)</f>
        <v>46317</v>
      </c>
      <c r="P12" s="28" t="n">
        <f aca="false">WORKDAY.INTL(O12,1,11)</f>
        <v>46318</v>
      </c>
    </row>
    <row r="13" customFormat="false" ht="15" hidden="false" customHeight="false" outlineLevel="0" collapsed="false">
      <c r="A13" s="3" t="s">
        <v>282</v>
      </c>
      <c r="B13" s="3" t="s">
        <v>72</v>
      </c>
      <c r="C13" s="3" t="n">
        <v>2</v>
      </c>
      <c r="D13" s="28" t="n">
        <f aca="false">DATE(2026,10,9)</f>
        <v>46304</v>
      </c>
      <c r="E13" s="28" t="n">
        <f aca="false">WORKDAY.INTL(D13,1,11)</f>
        <v>46305</v>
      </c>
      <c r="F13" s="28" t="n">
        <f aca="false">WORKDAY.INTL(E13,1,11)</f>
        <v>46307</v>
      </c>
      <c r="G13" s="28" t="n">
        <f aca="false">WORKDAY.INTL(F13,1,11)</f>
        <v>46308</v>
      </c>
      <c r="H13" s="28" t="n">
        <f aca="false">WORKDAY.INTL(G13,1,11)</f>
        <v>46309</v>
      </c>
      <c r="I13" s="28" t="n">
        <f aca="false">WORKDAY.INTL(H13,1,11)</f>
        <v>46310</v>
      </c>
      <c r="J13" s="28" t="n">
        <f aca="false">WORKDAY.INTL(I13,1,11)</f>
        <v>46311</v>
      </c>
      <c r="K13" s="28" t="n">
        <f aca="false">WORKDAY.INTL(J13,1,11)</f>
        <v>46312</v>
      </c>
      <c r="L13" s="28" t="n">
        <f aca="false">WORKDAY.INTL(K13,1,11)</f>
        <v>46314</v>
      </c>
      <c r="M13" s="28" t="n">
        <f aca="false">WORKDAY.INTL(L13,1,11)</f>
        <v>46315</v>
      </c>
      <c r="N13" s="28" t="n">
        <f aca="false">WORKDAY.INTL(M13,1,11)</f>
        <v>46316</v>
      </c>
      <c r="O13" s="28" t="n">
        <f aca="false">WORKDAY.INTL(N13,1,11)</f>
        <v>46317</v>
      </c>
      <c r="P13" s="28" t="n">
        <f aca="false">WORKDAY.INTL(O13,1,11)</f>
        <v>46318</v>
      </c>
    </row>
    <row r="14" customFormat="false" ht="15" hidden="false" customHeight="false" outlineLevel="0" collapsed="false">
      <c r="A14" s="3" t="s">
        <v>280</v>
      </c>
      <c r="B14" s="3" t="s">
        <v>28</v>
      </c>
      <c r="C14" s="3" t="n">
        <v>2</v>
      </c>
      <c r="D14" s="28" t="n">
        <f aca="false">DATE(2026,10,12)</f>
        <v>46307</v>
      </c>
      <c r="E14" s="28" t="n">
        <f aca="false">WORKDAY.INTL(D14,1,11)</f>
        <v>46308</v>
      </c>
      <c r="F14" s="28" t="n">
        <f aca="false">WORKDAY.INTL(E14,1,11)</f>
        <v>46309</v>
      </c>
      <c r="G14" s="28" t="n">
        <f aca="false">WORKDAY.INTL(F14,1,11)</f>
        <v>46310</v>
      </c>
      <c r="H14" s="28" t="n">
        <f aca="false">WORKDAY.INTL(G14,1,11)</f>
        <v>46311</v>
      </c>
      <c r="I14" s="28" t="n">
        <f aca="false">WORKDAY.INTL(H14,1,11)</f>
        <v>46312</v>
      </c>
      <c r="J14" s="28" t="n">
        <f aca="false">WORKDAY.INTL(I14,1,11)</f>
        <v>46314</v>
      </c>
      <c r="K14" s="28" t="n">
        <f aca="false">WORKDAY.INTL(J14,1,11)</f>
        <v>46315</v>
      </c>
      <c r="L14" s="28" t="n">
        <f aca="false">WORKDAY.INTL(K14,1,11)</f>
        <v>46316</v>
      </c>
      <c r="M14" s="28" t="n">
        <f aca="false">WORKDAY.INTL(L14,1,11)</f>
        <v>46317</v>
      </c>
      <c r="N14" s="28" t="n">
        <f aca="false">WORKDAY.INTL(M14,1,11)</f>
        <v>46318</v>
      </c>
      <c r="O14" s="28" t="n">
        <f aca="false">WORKDAY.INTL(N14,1,11)</f>
        <v>46319</v>
      </c>
      <c r="P14" s="28" t="n">
        <f aca="false">WORKDAY.INTL(O14,1,11)</f>
        <v>46321</v>
      </c>
    </row>
    <row r="15" customFormat="false" ht="15" hidden="false" customHeight="false" outlineLevel="0" collapsed="false">
      <c r="A15" s="3" t="s">
        <v>280</v>
      </c>
      <c r="B15" s="3" t="s">
        <v>72</v>
      </c>
      <c r="C15" s="3" t="n">
        <v>1</v>
      </c>
      <c r="D15" s="28" t="n">
        <f aca="false">DATE(2026,10,12)</f>
        <v>46307</v>
      </c>
      <c r="E15" s="28" t="n">
        <f aca="false">WORKDAY.INTL(D15,1,11)</f>
        <v>46308</v>
      </c>
      <c r="F15" s="28" t="n">
        <f aca="false">WORKDAY.INTL(E15,1,11)</f>
        <v>46309</v>
      </c>
      <c r="G15" s="28" t="n">
        <f aca="false">WORKDAY.INTL(F15,1,11)</f>
        <v>46310</v>
      </c>
      <c r="H15" s="28" t="n">
        <f aca="false">WORKDAY.INTL(G15,1,11)</f>
        <v>46311</v>
      </c>
      <c r="I15" s="28" t="n">
        <f aca="false">WORKDAY.INTL(H15,1,11)</f>
        <v>46312</v>
      </c>
      <c r="J15" s="28" t="n">
        <f aca="false">WORKDAY.INTL(I15,1,11)</f>
        <v>46314</v>
      </c>
      <c r="K15" s="28" t="n">
        <f aca="false">WORKDAY.INTL(J15,1,11)</f>
        <v>46315</v>
      </c>
      <c r="L15" s="28" t="n">
        <f aca="false">WORKDAY.INTL(K15,1,11)</f>
        <v>46316</v>
      </c>
      <c r="M15" s="28" t="n">
        <f aca="false">WORKDAY.INTL(L15,1,11)</f>
        <v>46317</v>
      </c>
      <c r="N15" s="28" t="n">
        <f aca="false">WORKDAY.INTL(M15,1,11)</f>
        <v>46318</v>
      </c>
      <c r="O15" s="28" t="n">
        <f aca="false">WORKDAY.INTL(N15,1,11)</f>
        <v>46319</v>
      </c>
      <c r="P15" s="28" t="n">
        <f aca="false">WORKDAY.INTL(O15,1,11)</f>
        <v>46321</v>
      </c>
    </row>
    <row r="16" customFormat="false" ht="15" hidden="false" customHeight="false" outlineLevel="0" collapsed="false">
      <c r="A16" s="3" t="s">
        <v>278</v>
      </c>
      <c r="B16" s="3" t="s">
        <v>28</v>
      </c>
      <c r="C16" s="3" t="n">
        <v>2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278</v>
      </c>
      <c r="B17" s="3" t="s">
        <v>72</v>
      </c>
      <c r="C17" s="3" t="n">
        <v>4</v>
      </c>
      <c r="D17" s="28" t="n">
        <f aca="false">DATE(2026,10,13)</f>
        <v>46308</v>
      </c>
      <c r="E17" s="28" t="n">
        <f aca="false">WORKDAY.INTL(D17,1,11)</f>
        <v>46309</v>
      </c>
      <c r="F17" s="28" t="n">
        <f aca="false">WORKDAY.INTL(E17,1,11)</f>
        <v>46310</v>
      </c>
      <c r="G17" s="28" t="n">
        <f aca="false">WORKDAY.INTL(F17,1,11)</f>
        <v>46311</v>
      </c>
      <c r="H17" s="28" t="n">
        <f aca="false">WORKDAY.INTL(G17,1,11)</f>
        <v>46312</v>
      </c>
      <c r="I17" s="28" t="n">
        <f aca="false">WORKDAY.INTL(H17,1,11)</f>
        <v>46314</v>
      </c>
      <c r="J17" s="28" t="n">
        <f aca="false">WORKDAY.INTL(I17,1,11)</f>
        <v>46315</v>
      </c>
      <c r="K17" s="28" t="n">
        <f aca="false">WORKDAY.INTL(J17,1,11)</f>
        <v>46316</v>
      </c>
      <c r="L17" s="28" t="n">
        <f aca="false">WORKDAY.INTL(K17,1,11)</f>
        <v>46317</v>
      </c>
      <c r="M17" s="28" t="n">
        <f aca="false">WORKDAY.INTL(L17,1,11)</f>
        <v>46318</v>
      </c>
      <c r="N17" s="28" t="n">
        <f aca="false">WORKDAY.INTL(M17,1,11)</f>
        <v>46319</v>
      </c>
      <c r="O17" s="28" t="n">
        <f aca="false">WORKDAY.INTL(N17,1,11)</f>
        <v>46321</v>
      </c>
      <c r="P17" s="28" t="n">
        <f aca="false">WORKDAY.INTL(O17,1,11)</f>
        <v>46322</v>
      </c>
    </row>
    <row r="18" customFormat="false" ht="15" hidden="false" customHeight="false" outlineLevel="0" collapsed="false">
      <c r="A18" s="3" t="s">
        <v>278</v>
      </c>
      <c r="B18" s="3" t="s">
        <v>25</v>
      </c>
      <c r="C18" s="3" t="n">
        <v>1</v>
      </c>
      <c r="D18" s="28" t="n">
        <f aca="false">DATE(2026,10,13)</f>
        <v>46308</v>
      </c>
      <c r="E18" s="28" t="n">
        <f aca="false">WORKDAY.INTL(D18,1,11)</f>
        <v>46309</v>
      </c>
      <c r="F18" s="28" t="n">
        <f aca="false">WORKDAY.INTL(E18,1,11)</f>
        <v>46310</v>
      </c>
      <c r="G18" s="28" t="n">
        <f aca="false">WORKDAY.INTL(F18,1,11)</f>
        <v>46311</v>
      </c>
      <c r="H18" s="28" t="n">
        <f aca="false">WORKDAY.INTL(G18,1,11)</f>
        <v>46312</v>
      </c>
      <c r="I18" s="28" t="n">
        <f aca="false">WORKDAY.INTL(H18,1,11)</f>
        <v>46314</v>
      </c>
      <c r="J18" s="28" t="n">
        <f aca="false">WORKDAY.INTL(I18,1,11)</f>
        <v>46315</v>
      </c>
      <c r="K18" s="28" t="n">
        <f aca="false">WORKDAY.INTL(J18,1,11)</f>
        <v>46316</v>
      </c>
      <c r="L18" s="28" t="n">
        <f aca="false">WORKDAY.INTL(K18,1,11)</f>
        <v>46317</v>
      </c>
      <c r="M18" s="28" t="n">
        <f aca="false">WORKDAY.INTL(L18,1,11)</f>
        <v>46318</v>
      </c>
      <c r="N18" s="28" t="n">
        <f aca="false">WORKDAY.INTL(M18,1,11)</f>
        <v>46319</v>
      </c>
      <c r="O18" s="28" t="n">
        <f aca="false">WORKDAY.INTL(N18,1,11)</f>
        <v>46321</v>
      </c>
      <c r="P18" s="28" t="n">
        <f aca="false">WORKDAY.INTL(O18,1,11)</f>
        <v>46322</v>
      </c>
    </row>
    <row r="19" customFormat="false" ht="15" hidden="false" customHeight="false" outlineLevel="0" collapsed="false">
      <c r="A19" s="3" t="s">
        <v>276</v>
      </c>
      <c r="B19" s="3" t="s">
        <v>28</v>
      </c>
      <c r="C19" s="3" t="n">
        <v>1</v>
      </c>
      <c r="D19" s="28" t="n">
        <f aca="false">DATE(2026,10,14)</f>
        <v>46309</v>
      </c>
      <c r="E19" s="28" t="n">
        <f aca="false">WORKDAY.INTL(D19,1,11)</f>
        <v>46310</v>
      </c>
      <c r="F19" s="28" t="n">
        <f aca="false">WORKDAY.INTL(E19,1,11)</f>
        <v>46311</v>
      </c>
      <c r="G19" s="28" t="n">
        <f aca="false">WORKDAY.INTL(F19,1,11)</f>
        <v>46312</v>
      </c>
      <c r="H19" s="28" t="n">
        <f aca="false">WORKDAY.INTL(G19,1,11)</f>
        <v>46314</v>
      </c>
      <c r="I19" s="28" t="n">
        <f aca="false">WORKDAY.INTL(H19,1,11)</f>
        <v>46315</v>
      </c>
      <c r="J19" s="28" t="n">
        <f aca="false">WORKDAY.INTL(I19,1,11)</f>
        <v>46316</v>
      </c>
      <c r="K19" s="28" t="n">
        <f aca="false">WORKDAY.INTL(J19,1,11)</f>
        <v>46317</v>
      </c>
      <c r="L19" s="28" t="n">
        <f aca="false">WORKDAY.INTL(K19,1,11)</f>
        <v>46318</v>
      </c>
      <c r="M19" s="28" t="n">
        <f aca="false">WORKDAY.INTL(L19,1,11)</f>
        <v>46319</v>
      </c>
      <c r="N19" s="28" t="n">
        <f aca="false">WORKDAY.INTL(M19,1,11)</f>
        <v>46321</v>
      </c>
      <c r="O19" s="28" t="n">
        <f aca="false">WORKDAY.INTL(N19,1,11)</f>
        <v>46322</v>
      </c>
      <c r="P19" s="28" t="n">
        <f aca="false">WORKDAY.INTL(O19,1,11)</f>
        <v>46323</v>
      </c>
    </row>
    <row r="20" customFormat="false" ht="15" hidden="false" customHeight="false" outlineLevel="0" collapsed="false">
      <c r="A20" s="3" t="s">
        <v>274</v>
      </c>
      <c r="B20" s="3" t="s">
        <v>28</v>
      </c>
      <c r="C20" s="3" t="n">
        <v>4</v>
      </c>
      <c r="D20" s="28" t="n">
        <f aca="false">DATE(2026,10,15)</f>
        <v>46310</v>
      </c>
      <c r="E20" s="28" t="n">
        <f aca="false">WORKDAY.INTL(D20,1,11)</f>
        <v>46311</v>
      </c>
      <c r="F20" s="28" t="n">
        <f aca="false">WORKDAY.INTL(E20,1,11)</f>
        <v>46312</v>
      </c>
      <c r="G20" s="28" t="n">
        <f aca="false">WORKDAY.INTL(F20,1,11)</f>
        <v>46314</v>
      </c>
      <c r="H20" s="28" t="n">
        <f aca="false">WORKDAY.INTL(G20,1,11)</f>
        <v>46315</v>
      </c>
      <c r="I20" s="28" t="n">
        <f aca="false">WORKDAY.INTL(H20,1,11)</f>
        <v>46316</v>
      </c>
      <c r="J20" s="28" t="n">
        <f aca="false">WORKDAY.INTL(I20,1,11)</f>
        <v>46317</v>
      </c>
      <c r="K20" s="28" t="n">
        <f aca="false">WORKDAY.INTL(J20,1,11)</f>
        <v>46318</v>
      </c>
      <c r="L20" s="28" t="n">
        <f aca="false">WORKDAY.INTL(K20,1,11)</f>
        <v>46319</v>
      </c>
      <c r="M20" s="28" t="n">
        <f aca="false">WORKDAY.INTL(L20,1,11)</f>
        <v>46321</v>
      </c>
      <c r="N20" s="28" t="n">
        <f aca="false">WORKDAY.INTL(M20,1,11)</f>
        <v>46322</v>
      </c>
      <c r="O20" s="28" t="n">
        <f aca="false">WORKDAY.INTL(N20,1,11)</f>
        <v>46323</v>
      </c>
      <c r="P20" s="28" t="n">
        <f aca="false">WORKDAY.INTL(O20,1,11)</f>
        <v>46324</v>
      </c>
    </row>
    <row r="21" customFormat="false" ht="15" hidden="false" customHeight="false" outlineLevel="0" collapsed="false">
      <c r="A21" s="3" t="s">
        <v>269</v>
      </c>
      <c r="B21" s="3" t="s">
        <v>28</v>
      </c>
      <c r="C21" s="3" t="n">
        <v>1</v>
      </c>
      <c r="D21" s="28" t="n">
        <f aca="false">DATE(2026,10,16)</f>
        <v>46311</v>
      </c>
      <c r="E21" s="28" t="n">
        <f aca="false">WORKDAY.INTL(D21,1,11)</f>
        <v>46312</v>
      </c>
      <c r="F21" s="28" t="n">
        <f aca="false">WORKDAY.INTL(E21,1,11)</f>
        <v>46314</v>
      </c>
      <c r="G21" s="28" t="n">
        <f aca="false">WORKDAY.INTL(F21,1,11)</f>
        <v>46315</v>
      </c>
      <c r="H21" s="28" t="n">
        <f aca="false">WORKDAY.INTL(G21,1,11)</f>
        <v>46316</v>
      </c>
      <c r="I21" s="28" t="n">
        <f aca="false">WORKDAY.INTL(H21,1,11)</f>
        <v>46317</v>
      </c>
      <c r="J21" s="28" t="n">
        <f aca="false">WORKDAY.INTL(I21,1,11)</f>
        <v>46318</v>
      </c>
      <c r="K21" s="28" t="n">
        <f aca="false">WORKDAY.INTL(J21,1,11)</f>
        <v>46319</v>
      </c>
      <c r="L21" s="28" t="n">
        <f aca="false">WORKDAY.INTL(K21,1,11)</f>
        <v>46321</v>
      </c>
      <c r="M21" s="28" t="n">
        <f aca="false">WORKDAY.INTL(L21,1,11)</f>
        <v>46322</v>
      </c>
      <c r="N21" s="28" t="n">
        <f aca="false">WORKDAY.INTL(M21,1,11)</f>
        <v>46323</v>
      </c>
      <c r="O21" s="28" t="n">
        <f aca="false">WORKDAY.INTL(N21,1,11)</f>
        <v>46324</v>
      </c>
      <c r="P21" s="28" t="n">
        <f aca="false">WORKDAY.INTL(O21,1,11)</f>
        <v>46325</v>
      </c>
    </row>
    <row r="23" customFormat="false" ht="15" hidden="false" customHeight="false" outlineLevel="0" collapsed="false">
      <c r="A23" s="20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2026-10-21T07:12:09Z</dcterms:created>
  <dc:creator>openpyxl</dc:creator>
  <dc:description/>
  <dc:language>en-US</dc:language>
  <cp:lastModifiedBy/>
  <dcterms:modified xsi:type="dcterms:W3CDTF">2026-10-21T07:12:10Z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