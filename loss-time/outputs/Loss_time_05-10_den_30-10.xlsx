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2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s time 05-10" sheetId="1" state="visible" r:id="rId3"/>
    <sheet name="Loss time 06-10" sheetId="2" state="visible" r:id="rId4"/>
    <sheet name="Loss time 07-10" sheetId="3" state="visible" r:id="rId5"/>
    <sheet name="Loss time 08-10" sheetId="4" state="visible" r:id="rId6"/>
    <sheet name="Loss time 09-10" sheetId="5" state="visible" r:id="rId7"/>
    <sheet name="Loss time 10-10" sheetId="6" state="visible" r:id="rId8"/>
    <sheet name="Loss time 12-10" sheetId="7" state="visible" r:id="rId9"/>
    <sheet name="Loss time 13-10" sheetId="8" state="visible" r:id="rId10"/>
    <sheet name="Loss time 14-10" sheetId="9" state="visible" r:id="rId11"/>
    <sheet name="Loss time 15-10" sheetId="10" state="visible" r:id="rId12"/>
    <sheet name="Loss time 16-10" sheetId="11" state="visible" r:id="rId13"/>
    <sheet name="Loss time 17-10" sheetId="12" state="visible" r:id="rId14"/>
    <sheet name="Loss time 19-10" sheetId="13" state="visible" r:id="rId15"/>
    <sheet name="Loss time 20-10" sheetId="14" state="visible" r:id="rId16"/>
    <sheet name="Loss time 21-10" sheetId="15" state="visible" r:id="rId17"/>
    <sheet name="Loss time 22-10" sheetId="16" state="visible" r:id="rId18"/>
    <sheet name="Loss time 23-10" sheetId="17" state="visible" r:id="rId19"/>
    <sheet name="Loss time 24-10" sheetId="18" state="visible" r:id="rId20"/>
    <sheet name="Loss time 25-10" sheetId="19" state="visible" r:id="rId21"/>
    <sheet name="Loss time 26-10" sheetId="20" state="visible" r:id="rId22"/>
    <sheet name="Loss time 27-10" sheetId="21" state="visible" r:id="rId23"/>
    <sheet name="Loss time 28-10" sheetId="22" state="visible" r:id="rId24"/>
    <sheet name="Loss time 29-10" sheetId="23" state="visible" r:id="rId25"/>
    <sheet name="Loss time 30-10" sheetId="24" state="visible" r:id="rId26"/>
    <sheet name="Tổng hợp" sheetId="25" state="visible" r:id="rId27"/>
    <sheet name="Nhân viên mới - A2" sheetId="26" state="visible" r:id="rId28"/>
    <sheet name="Lịch A2 nhân viên mới" sheetId="27" state="visible" r:id="rId29"/>
  </sheets>
  <definedNames>
    <definedName function="false" hidden="true" localSheetId="0" name="_xlnm._FilterDatabase" vbProcedure="false">'Loss time 05-10'!$A$2:$Q$39</definedName>
    <definedName function="false" hidden="true" localSheetId="1" name="_xlnm._FilterDatabase" vbProcedure="false">'Loss time 06-10'!$A$2:$Q$42</definedName>
    <definedName function="false" hidden="true" localSheetId="2" name="_xlnm._FilterDatabase" vbProcedure="false">'Loss time 07-10'!$A$2:$Q$44</definedName>
    <definedName function="false" hidden="true" localSheetId="3" name="_xlnm._FilterDatabase" vbProcedure="false">'Loss time 08-10'!$A$2:$Q$44</definedName>
    <definedName function="false" hidden="true" localSheetId="4" name="_xlnm._FilterDatabase" vbProcedure="false">'Loss time 09-10'!$A$2:$Q$46</definedName>
    <definedName function="false" hidden="true" localSheetId="5" name="_xlnm._FilterDatabase" vbProcedure="false">'Loss time 10-10'!$A$2:$Q$46</definedName>
    <definedName function="false" hidden="true" localSheetId="6" name="_xlnm._FilterDatabase" vbProcedure="false">'Loss time 12-10'!$A$2:$Q$48</definedName>
    <definedName function="false" hidden="true" localSheetId="7" name="_xlnm._FilterDatabase" vbProcedure="false">'Loss time 13-10'!$A$2:$Q$50</definedName>
    <definedName function="false" hidden="true" localSheetId="8" name="_xlnm._FilterDatabase" vbProcedure="false">'Loss time 14-10'!$A$2:$Q$40</definedName>
    <definedName function="false" hidden="true" localSheetId="9" name="_xlnm._FilterDatabase" vbProcedure="false">'Loss time 15-10'!$A$2:$Q$39</definedName>
    <definedName function="false" hidden="true" localSheetId="10" name="_xlnm._FilterDatabase" vbProcedure="false">'Loss time 16-10'!$A$2:$Q$40</definedName>
    <definedName function="false" hidden="true" localSheetId="11" name="_xlnm._FilterDatabase" vbProcedure="false">'Loss time 17-10'!$A$2:$Q$40</definedName>
    <definedName function="false" hidden="true" localSheetId="12" name="_xlnm._FilterDatabase" vbProcedure="false">'Loss time 19-10'!$A$2:$Q$42</definedName>
    <definedName function="false" hidden="true" localSheetId="13" name="_xlnm._FilterDatabase" vbProcedure="false">'Loss time 20-10'!$A$2:$Q$43</definedName>
    <definedName function="false" hidden="true" localSheetId="14" name="_xlnm._FilterDatabase" vbProcedure="false">'Loss time 21-10'!$A$2:$Q$43</definedName>
    <definedName function="false" hidden="true" localSheetId="15" name="_xlnm._FilterDatabase" vbProcedure="false">'Loss time 22-10'!$A$2:$Q$44</definedName>
    <definedName function="false" hidden="true" localSheetId="16" name="_xlnm._FilterDatabase" vbProcedure="false">'Loss time 23-10'!$A$2:$Q$43</definedName>
    <definedName function="false" hidden="true" localSheetId="17" name="_xlnm._FilterDatabase" vbProcedure="false">'Loss time 24-10'!$A$2:$Q$41</definedName>
    <definedName function="false" hidden="true" localSheetId="18" name="_xlnm._FilterDatabase" vbProcedure="false">'Loss time 25-10'!$A$2:$Q$17</definedName>
    <definedName function="false" hidden="true" localSheetId="19" name="_xlnm._FilterDatabase" vbProcedure="false">'Loss time 26-10'!$A$2:$Q$41</definedName>
    <definedName function="false" hidden="true" localSheetId="20" name="_xlnm._FilterDatabase" vbProcedure="false">'Loss time 27-10'!$A$2:$Q$41</definedName>
    <definedName function="false" hidden="true" localSheetId="21" name="_xlnm._FilterDatabase" vbProcedure="false">'Loss time 28-10'!$A$2:$Q$41</definedName>
    <definedName function="false" hidden="true" localSheetId="22" name="_xlnm._FilterDatabase" vbProcedure="false">'Loss time 29-10'!$A$2:$Q$40</definedName>
    <definedName function="false" hidden="true" localSheetId="23" name="_xlnm._FilterDatabase" vbProcedure="false">'Loss time 30-10'!$A$2:$Q$39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<sst xmlns="http://schemas.openxmlformats.org/spreadsheetml/2006/main" count="7932" uniqueCount="452">
  <si>
    <t xml:space="preserve">LOSS TIME WHITE WOOD - 05/10/2026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</si>
  <si>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</si>
  <si>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</si>
  <si>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</si>
  <si>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</si>
  <si>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</si>
  <si>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</si>
  <si>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</si>
  <si>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</si>
  <si>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</si>
  <si>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</si>
  <si>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</si>
  <si>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</si>
  <si>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</si>
  <si>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</si>
  <si>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</si>
  <si>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</si>
  <si>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</si>
  <si>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RC - WOOD</t>
  </si>
  <si>
    <t xml:space="preserve">P20</t>
  </si>
  <si>
    <t xml:space="preserve">Dailly Cleaning</t>
  </si>
  <si>
    <t xml:space="preserve">RC WOOD</t>
  </si>
  <si>
    <t xml:space="preserve">Vệ sinh khu vực máy móc RC WOOD</t>
  </si>
  <si>
    <t xml:space="preserve">RC - PANEL</t>
  </si>
  <si>
    <t xml:space="preserve">Vệ sinh khu vực máy móc RC PANEL</t>
  </si>
  <si>
    <t xml:space="preserve">Machining</t>
  </si>
  <si>
    <t xml:space="preserve">Vệ sinh khu vực máy móc MAC FINAL</t>
  </si>
  <si>
    <t xml:space="preserve">Vệ sinh khu vực máy móc PRE MAC</t>
  </si>
  <si>
    <t xml:space="preserve">Assembly</t>
  </si>
  <si>
    <t xml:space="preserve">Quét nhà toàn xưởng khu vực ASSY</t>
  </si>
  <si>
    <t xml:space="preserve">P26</t>
  </si>
  <si>
    <t xml:space="preserve">Recorder/ Supporter</t>
  </si>
  <si>
    <t xml:space="preserve">Shop Floor data RC PANEL</t>
  </si>
  <si>
    <t xml:space="preserve">Recorder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</si>
  <si>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</si>
  <si>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</si>
  <si>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</si>
  <si>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</si>
  <si>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Supporter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</si>
  <si>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</si>
  <si>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</si>
  <si>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</si>
  <si>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</si>
  <si>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</si>
  <si>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</si>
  <si>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</si>
  <si>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</si>
  <si>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</si>
  <si>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P22</t>
  </si>
  <si>
    <t xml:space="preserve">HR Training New Workers</t>
  </si>
  <si>
    <t xml:space="preserve">HR/HSE</t>
  </si>
  <si>
    <t xml:space="preserve">Đào tạo công nhân mới</t>
  </si>
  <si>
    <t xml:space="preserve">A2</t>
  </si>
  <si>
    <t xml:space="preserve">Training</t>
  </si>
  <si>
    <t xml:space="preserve">HC mới- 50% hiệu suất- 2 tuần-18/9</t>
  </si>
  <si>
    <t xml:space="preserve">A2 ngày 5/12 - nhóm 18/9</t>
  </si>
  <si>
    <t xml:space="preserve">HC mới- 50% hiệu suất- 2 tuần-23/9</t>
  </si>
  <si>
    <t xml:space="preserve">A2 ngày 10/12 - nhóm 23/9</t>
  </si>
  <si>
    <t xml:space="preserve">HC mới- 50% hiệu suất- 2 tuần-24/9</t>
  </si>
  <si>
    <t xml:space="preserve">A2 ngày 5/12 - nhóm 24/9</t>
  </si>
  <si>
    <t xml:space="preserve">HC mới- 50% hiệu suất- 2 tuần-25/9</t>
  </si>
  <si>
    <t xml:space="preserve">A2 ngày 5/12 - nhóm 25/9</t>
  </si>
  <si>
    <t xml:space="preserve">HC mới- 50% hiệu suất- 2 tuần-28/9</t>
  </si>
  <si>
    <t xml:space="preserve">A2 ngày 6/12 - nhóm 28/9</t>
  </si>
  <si>
    <t xml:space="preserve">HC mới- 50% hiệu suất- 2 tuần-21/9</t>
  </si>
  <si>
    <t xml:space="preserve">A2 ngày 5/12 - nhóm 21/9</t>
  </si>
  <si>
    <t xml:space="preserve">HC mới- 50% hiệu suất- 2 tuần-22/9</t>
  </si>
  <si>
    <t xml:space="preserve">A2 ngày 5/12 - nhóm 22/9</t>
  </si>
  <si>
    <t xml:space="preserve">RC</t>
  </si>
  <si>
    <t xml:space="preserve">A2 ngày 5/12 - nhóm 23/9</t>
  </si>
  <si>
    <t xml:space="preserve">HC mới- 50% hiệu suất- 2 tuần-26/9</t>
  </si>
  <si>
    <t xml:space="preserve">A2 ngày 5/12 - nhóm 26/9</t>
  </si>
  <si>
    <t xml:space="preserve">Raw Cutting Panel</t>
  </si>
  <si>
    <t xml:space="preserve">A2 ngày 4/12 - nhóm 23/9</t>
  </si>
  <si>
    <t xml:space="preserve">A2 ngày 4/12 - nhóm 25/9</t>
  </si>
  <si>
    <t xml:space="preserve">Tổng</t>
  </si>
  <si>
    <t xml:space="preserve">Vàng = nhân viên mới ngày đầu (P22). Xanh = nhân viên đang ghi A2 (cột Ghi chú cho biết ngày thứ mấy trong 12 ngày).</t>
  </si>
  <si>
    <t xml:space="preserve">LOSS TIME WHITE WOOD - 06/10/2026</t>
  </si>
  <si>
    <t xml:space="preserve">A2 ngày 6/12 - nhóm 18/9</t>
  </si>
  <si>
    <t xml:space="preserve">A2 ngày 11/12 - nhóm 23/9</t>
  </si>
  <si>
    <t xml:space="preserve">A2 ngày 6/12 - nhóm 24/9</t>
  </si>
  <si>
    <t xml:space="preserve">A2 ngày 6/12 - nhóm 25/9</t>
  </si>
  <si>
    <t xml:space="preserve">A2 ngày 7/12 - nhóm 28/9</t>
  </si>
  <si>
    <t xml:space="preserve">A2 ngày 6/12 - nhóm 21/9</t>
  </si>
  <si>
    <t xml:space="preserve">A2 ngày 6/12 - nhóm 22/9</t>
  </si>
  <si>
    <t xml:space="preserve">A2 ngày 6/12 - nhóm 23/9</t>
  </si>
  <si>
    <t xml:space="preserve">A2 ngày 6/12 - nhóm 26/9</t>
  </si>
  <si>
    <t xml:space="preserve">HC mới- 50% hiệu suất- 2 tuần-05/10</t>
  </si>
  <si>
    <t xml:space="preserve">A2 ngày 1/12 - nhóm 05/10</t>
  </si>
  <si>
    <t xml:space="preserve">LOSS TIME WHITE WOOD - 07/10/2026</t>
  </si>
  <si>
    <t xml:space="preserve">A2 ngày 7/12 - nhóm 18/9</t>
  </si>
  <si>
    <t xml:space="preserve">A2 ngày 12/12 - nhóm 23/9</t>
  </si>
  <si>
    <t xml:space="preserve">A2 ngày 7/12 - nhóm 24/9</t>
  </si>
  <si>
    <t xml:space="preserve">A2 ngày 7/12 - nhóm 25/9</t>
  </si>
  <si>
    <t xml:space="preserve">A2 ngày 8/12 - nhóm 28/9</t>
  </si>
  <si>
    <t xml:space="preserve">A2 ngày 7/12 - nhóm 21/9</t>
  </si>
  <si>
    <t xml:space="preserve">A2 ngày 7/12 - nhóm 22/9</t>
  </si>
  <si>
    <t xml:space="preserve">A2 ngày 7/12 - nhóm 23/9</t>
  </si>
  <si>
    <t xml:space="preserve">A2 ngày 7/12 - nhóm 26/9</t>
  </si>
  <si>
    <t xml:space="preserve">A2 ngày 2/12 - nhóm 05/10</t>
  </si>
  <si>
    <t xml:space="preserve">HC mới- 50% hiệu suất- 2 tuần-06/10</t>
  </si>
  <si>
    <t xml:space="preserve">A2 ngày 1/12 - nhóm 06/10</t>
  </si>
  <si>
    <t xml:space="preserve">LOSS TIME WHITE WOOD - 08/10/2026</t>
  </si>
  <si>
    <t xml:space="preserve">A2 ngày 8/12 - nhóm 18/9</t>
  </si>
  <si>
    <t xml:space="preserve">A2 ngày 8/12 - nhóm 24/9</t>
  </si>
  <si>
    <t xml:space="preserve">A2 ngày 8/12 - nhóm 25/9</t>
  </si>
  <si>
    <t xml:space="preserve">A2 ngày 9/12 - nhóm 28/9</t>
  </si>
  <si>
    <t xml:space="preserve">A2 ngày 8/12 - nhóm 21/9</t>
  </si>
  <si>
    <t xml:space="preserve">A2 ngày 8/12 - nhóm 22/9</t>
  </si>
  <si>
    <t xml:space="preserve">A2 ngày 8/12 - nhóm 23/9</t>
  </si>
  <si>
    <t xml:space="preserve">A2 ngày 8/12 - nhóm 26/9</t>
  </si>
  <si>
    <t xml:space="preserve">A2 ngày 3/12 - nhóm 05/10</t>
  </si>
  <si>
    <t xml:space="preserve">A2 ngày 2/12 - nhóm 06/10</t>
  </si>
  <si>
    <t xml:space="preserve">HC mới- 50% hiệu suất- 2 tuần-07/10</t>
  </si>
  <si>
    <t xml:space="preserve">A2 ngày 1/12 - nhóm 07/10</t>
  </si>
  <si>
    <t xml:space="preserve">LOSS TIME WHITE WOOD - 09/10/2026</t>
  </si>
  <si>
    <t xml:space="preserve">A2 ngày 9/12 - nhóm 18/9</t>
  </si>
  <si>
    <t xml:space="preserve">A2 ngày 9/12 - nhóm 24/9</t>
  </si>
  <si>
    <t xml:space="preserve">A2 ngày 9/12 - nhóm 25/9</t>
  </si>
  <si>
    <t xml:space="preserve">A2 ngày 10/12 - nhóm 28/9</t>
  </si>
  <si>
    <t xml:space="preserve">A2 ngày 9/12 - nhóm 21/9</t>
  </si>
  <si>
    <t xml:space="preserve">A2 ngày 9/12 - nhóm 22/9</t>
  </si>
  <si>
    <t xml:space="preserve">A2 ngày 9/12 - nhóm 23/9</t>
  </si>
  <si>
    <t xml:space="preserve">A2 ngày 9/12 - nhóm 26/9</t>
  </si>
  <si>
    <t xml:space="preserve">A2 ngày 4/12 - nhóm 05/10</t>
  </si>
  <si>
    <t xml:space="preserve">A2 ngày 3/12 - nhóm 06/10</t>
  </si>
  <si>
    <t xml:space="preserve">A2 ngày 2/12 - nhóm 07/10</t>
  </si>
  <si>
    <t xml:space="preserve">HC mới- 50% hiệu suất- 2 tuần-08/10</t>
  </si>
  <si>
    <t xml:space="preserve">A2 ngày 1/12 - nhóm 08/10</t>
  </si>
  <si>
    <t xml:space="preserve">LOSS TIME WHITE WOOD - 10/10/2026</t>
  </si>
  <si>
    <t xml:space="preserve">A2 ngày 10/12 - nhóm 18/9</t>
  </si>
  <si>
    <t xml:space="preserve">A2 ngày 10/12 - nhóm 24/9</t>
  </si>
  <si>
    <t xml:space="preserve">A2 ngày 10/12 - nhóm 25/9</t>
  </si>
  <si>
    <t xml:space="preserve">A2 ngày 11/12 - nhóm 28/9</t>
  </si>
  <si>
    <t xml:space="preserve">A2 ngày 10/12 - nhóm 21/9</t>
  </si>
  <si>
    <t xml:space="preserve">A2 ngày 10/12 - nhóm 22/9</t>
  </si>
  <si>
    <t xml:space="preserve">A2 ngày 10/12 - nhóm 26/9</t>
  </si>
  <si>
    <t xml:space="preserve">A2 ngày 5/12 - nhóm 05/10</t>
  </si>
  <si>
    <t xml:space="preserve">A2 ngày 4/12 - nhóm 06/10</t>
  </si>
  <si>
    <t xml:space="preserve">A2 ngày 3/12 - nhóm 07/10</t>
  </si>
  <si>
    <t xml:space="preserve">A2 ngày 2/12 - nhóm 08/10</t>
  </si>
  <si>
    <t xml:space="preserve">HC mới- 50% hiệu suất- 2 tuần-09/10</t>
  </si>
  <si>
    <t xml:space="preserve">A2 ngày 1/12 - nhóm 09/10</t>
  </si>
  <si>
    <t xml:space="preserve">LOSS TIME WHITE WOOD - 12/10/2026</t>
  </si>
  <si>
    <t xml:space="preserve">A2 ngày 11/12 - nhóm 18/9</t>
  </si>
  <si>
    <t xml:space="preserve">A2 ngày 11/12 - nhóm 24/9</t>
  </si>
  <si>
    <t xml:space="preserve">A2 ngày 11/12 - nhóm 25/9</t>
  </si>
  <si>
    <t xml:space="preserve">A2 ngày 12/12 - nhóm 28/9</t>
  </si>
  <si>
    <t xml:space="preserve">A2 ngày 11/12 - nhóm 21/9</t>
  </si>
  <si>
    <t xml:space="preserve">A2 ngày 11/12 - nhóm 22/9</t>
  </si>
  <si>
    <t xml:space="preserve">A2 ngày 11/12 - nhóm 26/9</t>
  </si>
  <si>
    <t xml:space="preserve">A2 ngày 6/12 - nhóm 05/10</t>
  </si>
  <si>
    <t xml:space="preserve">A2 ngày 5/12 - nhóm 06/10</t>
  </si>
  <si>
    <t xml:space="preserve">A2 ngày 4/12 - nhóm 07/10</t>
  </si>
  <si>
    <t xml:space="preserve">A2 ngày 3/12 - nhóm 08/10</t>
  </si>
  <si>
    <t xml:space="preserve">A2 ngày 2/12 - nhóm 09/10</t>
  </si>
  <si>
    <t xml:space="preserve">LOSS TIME WHITE WOOD - 13/10/2026</t>
  </si>
  <si>
    <t xml:space="preserve">A2 ngày 12/12 - nhóm 18/9</t>
  </si>
  <si>
    <t xml:space="preserve">A2 ngày 12/12 - nhóm 24/9</t>
  </si>
  <si>
    <t xml:space="preserve">A2 ngày 12/12 - nhóm 25/9</t>
  </si>
  <si>
    <t xml:space="preserve">A2 ngày 12/12 - nhóm 21/9</t>
  </si>
  <si>
    <t xml:space="preserve">A2 ngày 12/12 - nhóm 22/9</t>
  </si>
  <si>
    <t xml:space="preserve">A2 ngày 12/12 - nhóm 26/9</t>
  </si>
  <si>
    <t xml:space="preserve">A2 ngày 7/12 - nhóm 05/10</t>
  </si>
  <si>
    <t xml:space="preserve">A2 ngày 6/12 - nhóm 06/10</t>
  </si>
  <si>
    <t xml:space="preserve">A2 ngày 5/12 - nhóm 07/10</t>
  </si>
  <si>
    <t xml:space="preserve">A2 ngày 4/12 - nhóm 08/10</t>
  </si>
  <si>
    <t xml:space="preserve">A2 ngày 3/12 - nhóm 09/10</t>
  </si>
  <si>
    <t xml:space="preserve">HC mới- 50% hiệu suất- 2 tuần-12/10</t>
  </si>
  <si>
    <t xml:space="preserve">A2 ngày 1/12 - nhóm 12/10</t>
  </si>
  <si>
    <t xml:space="preserve">LOSS TIME WHITE WOOD - 14/10/2026</t>
  </si>
  <si>
    <t xml:space="preserve">A2 ngày 8/12 - nhóm 05/10</t>
  </si>
  <si>
    <t xml:space="preserve">A2 ngày 7/12 - nhóm 06/10</t>
  </si>
  <si>
    <t xml:space="preserve">A2 ngày 6/12 - nhóm 07/10</t>
  </si>
  <si>
    <t xml:space="preserve">A2 ngày 5/12 - nhóm 08/10</t>
  </si>
  <si>
    <t xml:space="preserve">A2 ngày 4/12 - nhóm 09/10</t>
  </si>
  <si>
    <t xml:space="preserve">A2 ngày 2/12 - nhóm 12/10</t>
  </si>
  <si>
    <t xml:space="preserve">HC mới- 50% hiệu suất- 2 tuần-13/10</t>
  </si>
  <si>
    <t xml:space="preserve">A2 ngày 1/12 - nhóm 13/10</t>
  </si>
  <si>
    <t xml:space="preserve">LOSS TIME WHITE WOOD - 15/10/2026</t>
  </si>
  <si>
    <t xml:space="preserve">A2 ngày 9/12 - nhóm 05/10</t>
  </si>
  <si>
    <t xml:space="preserve">A2 ngày 8/12 - nhóm 06/10</t>
  </si>
  <si>
    <t xml:space="preserve">A2 ngày 7/12 - nhóm 07/10</t>
  </si>
  <si>
    <t xml:space="preserve">A2 ngày 6/12 - nhóm 08/10</t>
  </si>
  <si>
    <t xml:space="preserve">A2 ngày 5/12 - nhóm 09/10</t>
  </si>
  <si>
    <t xml:space="preserve">A2 ngày 3/12 - nhóm 12/10</t>
  </si>
  <si>
    <t xml:space="preserve">A2 ngày 2/12 - nhóm 13/10</t>
  </si>
  <si>
    <t xml:space="preserve">HC mới- 50% hiệu suất- 2 tuần-14/10</t>
  </si>
  <si>
    <t xml:space="preserve">A2 ngày 1/12 - nhóm 14/10</t>
  </si>
  <si>
    <t xml:space="preserve">LOSS TIME WHITE WOOD - 16/10/2026</t>
  </si>
  <si>
    <t xml:space="preserve">A2 ngày 10/12 - nhóm 05/10</t>
  </si>
  <si>
    <t xml:space="preserve">A2 ngày 9/12 - nhóm 06/10</t>
  </si>
  <si>
    <t xml:space="preserve">A2 ngày 8/12 - nhóm 07/10</t>
  </si>
  <si>
    <t xml:space="preserve">A2 ngày 7/12 - nhóm 08/10</t>
  </si>
  <si>
    <t xml:space="preserve">A2 ngày 6/12 - nhóm 09/10</t>
  </si>
  <si>
    <t xml:space="preserve">A2 ngày 4/12 - nhóm 12/10</t>
  </si>
  <si>
    <t xml:space="preserve">A2 ngày 3/12 - nhóm 13/10</t>
  </si>
  <si>
    <t xml:space="preserve">A2 ngày 2/12 - nhóm 14/10</t>
  </si>
  <si>
    <t xml:space="preserve">HC mới- 50% hiệu suất- 2 tuần-15/10</t>
  </si>
  <si>
    <t xml:space="preserve">A2 ngày 1/12 - nhóm 15/10</t>
  </si>
  <si>
    <t xml:space="preserve">LOSS TIME WHITE WOOD - 17/10/2026</t>
  </si>
  <si>
    <t xml:space="preserve">A2 ngày 11/12 - nhóm 05/10</t>
  </si>
  <si>
    <t xml:space="preserve">A2 ngày 10/12 - nhóm 06/10</t>
  </si>
  <si>
    <t xml:space="preserve">A2 ngày 9/12 - nhóm 07/10</t>
  </si>
  <si>
    <t xml:space="preserve">A2 ngày 8/12 - nhóm 08/10</t>
  </si>
  <si>
    <t xml:space="preserve">A2 ngày 7/12 - nhóm 09/10</t>
  </si>
  <si>
    <t xml:space="preserve">A2 ngày 5/12 - nhóm 12/10</t>
  </si>
  <si>
    <t xml:space="preserve">A2 ngày 4/12 - nhóm 13/10</t>
  </si>
  <si>
    <t xml:space="preserve">A2 ngày 3/12 - nhóm 14/10</t>
  </si>
  <si>
    <t xml:space="preserve">A2 ngày 2/12 - nhóm 15/10</t>
  </si>
  <si>
    <t xml:space="preserve">HC mới- 50% hiệu suất- 2 tuần-16/10</t>
  </si>
  <si>
    <t xml:space="preserve">A2 ngày 1/12 - nhóm 16/10</t>
  </si>
  <si>
    <t xml:space="preserve">LOSS TIME WHITE WOOD - 19/10/2026</t>
  </si>
  <si>
    <t xml:space="preserve">A2 ngày 12/12 - nhóm 05/10</t>
  </si>
  <si>
    <t xml:space="preserve">A2 ngày 11/12 - nhóm 06/10</t>
  </si>
  <si>
    <t xml:space="preserve">A2 ngày 10/12 - nhóm 07/10</t>
  </si>
  <si>
    <t xml:space="preserve">A2 ngày 9/12 - nhóm 08/10</t>
  </si>
  <si>
    <t xml:space="preserve">A2 ngày 8/12 - nhóm 09/10</t>
  </si>
  <si>
    <t xml:space="preserve">A2 ngày 6/12 - nhóm 12/10</t>
  </si>
  <si>
    <t xml:space="preserve">A2 ngày 5/12 - nhóm 13/10</t>
  </si>
  <si>
    <t xml:space="preserve">A2 ngày 4/12 - nhóm 14/10</t>
  </si>
  <si>
    <t xml:space="preserve">A2 ngày 3/12 - nhóm 15/10</t>
  </si>
  <si>
    <t xml:space="preserve">A2 ngày 2/12 - nhóm 16/10</t>
  </si>
  <si>
    <t xml:space="preserve">LOSS TIME WHITE WOOD - 20/10/2026</t>
  </si>
  <si>
    <t xml:space="preserve">A2 ngày 12/12 - nhóm 06/10</t>
  </si>
  <si>
    <t xml:space="preserve">A2 ngày 11/12 - nhóm 07/10</t>
  </si>
  <si>
    <t xml:space="preserve">A2 ngày 10/12 - nhóm 08/10</t>
  </si>
  <si>
    <t xml:space="preserve">A2 ngày 9/12 - nhóm 09/10</t>
  </si>
  <si>
    <t xml:space="preserve">A2 ngày 7/12 - nhóm 12/10</t>
  </si>
  <si>
    <t xml:space="preserve">A2 ngày 6/12 - nhóm 13/10</t>
  </si>
  <si>
    <t xml:space="preserve">A2 ngày 5/12 - nhóm 14/10</t>
  </si>
  <si>
    <t xml:space="preserve">A2 ngày 4/12 - nhóm 15/10</t>
  </si>
  <si>
    <t xml:space="preserve">A2 ngày 3/12 - nhóm 16/10</t>
  </si>
  <si>
    <t xml:space="preserve">HC mới- 50% hiệu suất- 2 tuần-19/10</t>
  </si>
  <si>
    <t xml:space="preserve">A2 ngày 1/12 - nhóm 19/10</t>
  </si>
  <si>
    <t xml:space="preserve">LOSS TIME WHITE WOOD - 21/10/2026</t>
  </si>
  <si>
    <t xml:space="preserve">A2 ngày 12/12 - nhóm 07/10</t>
  </si>
  <si>
    <t xml:space="preserve">A2 ngày 11/12 - nhóm 08/10</t>
  </si>
  <si>
    <t xml:space="preserve">A2 ngày 10/12 - nhóm 09/10</t>
  </si>
  <si>
    <t xml:space="preserve">A2 ngày 8/12 - nhóm 12/10</t>
  </si>
  <si>
    <t xml:space="preserve">A2 ngày 7/12 - nhóm 13/10</t>
  </si>
  <si>
    <t xml:space="preserve">A2 ngày 6/12 - nhóm 14/10</t>
  </si>
  <si>
    <t xml:space="preserve">A2 ngày 5/12 - nhóm 15/10</t>
  </si>
  <si>
    <t xml:space="preserve">A2 ngày 4/12 - nhóm 16/10</t>
  </si>
  <si>
    <t xml:space="preserve">A2 ngày 2/12 - nhóm 19/10</t>
  </si>
  <si>
    <t xml:space="preserve">HC mới- 50% hiệu suất- 2 tuần-20/10</t>
  </si>
  <si>
    <t xml:space="preserve">A2 ngày 1/12 - nhóm 20/10</t>
  </si>
  <si>
    <t xml:space="preserve">LOSS TIME WHITE WOOD - 22/10/2026</t>
  </si>
  <si>
    <t xml:space="preserve">A2 ngày 12/12 - nhóm 08/10</t>
  </si>
  <si>
    <t xml:space="preserve">A2 ngày 11/12 - nhóm 09/10</t>
  </si>
  <si>
    <t xml:space="preserve">A2 ngày 9/12 - nhóm 12/10</t>
  </si>
  <si>
    <t xml:space="preserve">A2 ngày 8/12 - nhóm 13/10</t>
  </si>
  <si>
    <t xml:space="preserve">A2 ngày 7/12 - nhóm 14/10</t>
  </si>
  <si>
    <t xml:space="preserve">A2 ngày 6/12 - nhóm 15/10</t>
  </si>
  <si>
    <t xml:space="preserve">A2 ngày 5/12 - nhóm 16/10</t>
  </si>
  <si>
    <t xml:space="preserve">A2 ngày 3/12 - nhóm 19/10</t>
  </si>
  <si>
    <t xml:space="preserve">A2 ngày 2/12 - nhóm 20/10</t>
  </si>
  <si>
    <t xml:space="preserve">HC mới- 50% hiệu suất- 2 tuần-21/10</t>
  </si>
  <si>
    <t xml:space="preserve">A2 ngày 1/12 - nhóm 21/10</t>
  </si>
  <si>
    <t xml:space="preserve">LOSS TIME WHITE WOOD - 23/10/2026</t>
  </si>
  <si>
    <t xml:space="preserve">A2 ngày 12/12 - nhóm 09/10</t>
  </si>
  <si>
    <t xml:space="preserve">A2 ngày 10/12 - nhóm 12/10</t>
  </si>
  <si>
    <t xml:space="preserve">A2 ngày 9/12 - nhóm 13/10</t>
  </si>
  <si>
    <t xml:space="preserve">A2 ngày 8/12 - nhóm 14/10</t>
  </si>
  <si>
    <t xml:space="preserve">A2 ngày 7/12 - nhóm 15/10</t>
  </si>
  <si>
    <t xml:space="preserve">A2 ngày 6/12 - nhóm 16/10</t>
  </si>
  <si>
    <t xml:space="preserve">A2 ngày 4/12 - nhóm 19/10</t>
  </si>
  <si>
    <t xml:space="preserve">A2 ngày 3/12 - nhóm 20/10</t>
  </si>
  <si>
    <t xml:space="preserve">A2 ngày 2/12 - nhóm 21/10</t>
  </si>
  <si>
    <t xml:space="preserve">HC mới- 50% hiệu suất- 2 tuần-22/10</t>
  </si>
  <si>
    <t xml:space="preserve">A2 ngày 1/12 - nhóm 22/10</t>
  </si>
  <si>
    <t xml:space="preserve">LOSS TIME WHITE WOOD - 24/10/2026</t>
  </si>
  <si>
    <t xml:space="preserve">A2 ngày 11/12 - nhóm 12/10</t>
  </si>
  <si>
    <t xml:space="preserve">A2 ngày 10/12 - nhóm 13/10</t>
  </si>
  <si>
    <t xml:space="preserve">A2 ngày 9/12 - nhóm 14/10</t>
  </si>
  <si>
    <t xml:space="preserve">A2 ngày 8/12 - nhóm 15/10</t>
  </si>
  <si>
    <t xml:space="preserve">A2 ngày 7/12 - nhóm 16/10</t>
  </si>
  <si>
    <t xml:space="preserve">A2 ngày 5/12 - nhóm 19/10</t>
  </si>
  <si>
    <t xml:space="preserve">A2 ngày 4/12 - nhóm 20/10</t>
  </si>
  <si>
    <t xml:space="preserve">A2 ngày 3/12 - nhóm 21/10</t>
  </si>
  <si>
    <t xml:space="preserve">A2 ngày 2/12 - nhóm 22/10</t>
  </si>
  <si>
    <t xml:space="preserve">HC mới- 50% hiệu suất- 2 tuần-23/10</t>
  </si>
  <si>
    <t xml:space="preserve">A2 ngày 1/12 - nhóm 23/10</t>
  </si>
  <si>
    <t xml:space="preserve">LOSS TIME WHITE WOOD - 25/10/2026</t>
  </si>
  <si>
    <t xml:space="preserve">A2 ngày 12/12 - nhóm 12/10</t>
  </si>
  <si>
    <t xml:space="preserve">A2 ngày 11/12 - nhóm 13/10</t>
  </si>
  <si>
    <t xml:space="preserve">A2 ngày 10/12 - nhóm 14/10</t>
  </si>
  <si>
    <t xml:space="preserve">A2 ngày 9/12 - nhóm 15/10</t>
  </si>
  <si>
    <t xml:space="preserve">A2 ngày 8/12 - nhóm 16/10</t>
  </si>
  <si>
    <t xml:space="preserve">A2 ngày 6/12 - nhóm 19/10</t>
  </si>
  <si>
    <t xml:space="preserve">A2 ngày 5/12 - nhóm 20/10</t>
  </si>
  <si>
    <t xml:space="preserve">A2 ngày 4/12 - nhóm 21/10</t>
  </si>
  <si>
    <t xml:space="preserve">A2 ngày 3/12 - nhóm 22/10</t>
  </si>
  <si>
    <t xml:space="preserve">HC mới- 50% hiệu suất- 2 tuần-26/10</t>
  </si>
  <si>
    <t xml:space="preserve">A2 ngày 1/12 - nhóm 26/10</t>
  </si>
  <si>
    <t xml:space="preserve">HC mới- 50% hiệu suất- 2 tuần-27/10</t>
  </si>
  <si>
    <t xml:space="preserve">A2 ngày 1/12 - nhóm 27/10</t>
  </si>
  <si>
    <t xml:space="preserve">HC mới- 50% hiệu suất- 2 tuần-28/10</t>
  </si>
  <si>
    <t xml:space="preserve">A2 ngày 1/12 - nhóm 28/10</t>
  </si>
  <si>
    <t xml:space="preserve">LOSS TIME WHITE WOOD - 26/10/2026</t>
  </si>
  <si>
    <t xml:space="preserve">A2 ngày 12/12 - nhóm 13/10</t>
  </si>
  <si>
    <t xml:space="preserve">A2 ngày 11/12 - nhóm 14/10</t>
  </si>
  <si>
    <t xml:space="preserve">A2 ngày 10/12 - nhóm 15/10</t>
  </si>
  <si>
    <t xml:space="preserve">A2 ngày 9/12 - nhóm 16/10</t>
  </si>
  <si>
    <t xml:space="preserve">A2 ngày 7/12 - nhóm 19/10</t>
  </si>
  <si>
    <t xml:space="preserve">A2 ngày 6/12 - nhóm 20/10</t>
  </si>
  <si>
    <t xml:space="preserve">A2 ngày 5/12 - nhóm 21/10</t>
  </si>
  <si>
    <t xml:space="preserve">A2 ngày 4/12 - nhóm 22/10</t>
  </si>
  <si>
    <t xml:space="preserve">A2 ngày 2/12 - nhóm 23/10</t>
  </si>
  <si>
    <t xml:space="preserve">LOSS TIME WHITE WOOD - 27/10/2026</t>
  </si>
  <si>
    <t xml:space="preserve">A2 ngày 12/12 - nhóm 14/10</t>
  </si>
  <si>
    <t xml:space="preserve">A2 ngày 11/12 - nhóm 15/10</t>
  </si>
  <si>
    <t xml:space="preserve">A2 ngày 10/12 - nhóm 16/10</t>
  </si>
  <si>
    <t xml:space="preserve">A2 ngày 8/12 - nhóm 19/10</t>
  </si>
  <si>
    <t xml:space="preserve">A2 ngày 7/12 - nhóm 20/10</t>
  </si>
  <si>
    <t xml:space="preserve">A2 ngày 6/12 - nhóm 21/10</t>
  </si>
  <si>
    <t xml:space="preserve">A2 ngày 5/12 - nhóm 22/10</t>
  </si>
  <si>
    <t xml:space="preserve">A2 ngày 3/12 - nhóm 23/10</t>
  </si>
  <si>
    <t xml:space="preserve">LOSS TIME WHITE WOOD - 28/10/2026</t>
  </si>
  <si>
    <t xml:space="preserve">A2 ngày 12/12 - nhóm 15/10</t>
  </si>
  <si>
    <t xml:space="preserve">A2 ngày 11/12 - nhóm 16/10</t>
  </si>
  <si>
    <t xml:space="preserve">A2 ngày 9/12 - nhóm 19/10</t>
  </si>
  <si>
    <t xml:space="preserve">A2 ngày 8/12 - nhóm 20/10</t>
  </si>
  <si>
    <t xml:space="preserve">A2 ngày 7/12 - nhóm 21/10</t>
  </si>
  <si>
    <t xml:space="preserve">A2 ngày 6/12 - nhóm 22/10</t>
  </si>
  <si>
    <t xml:space="preserve">A2 ngày 4/12 - nhóm 23/10</t>
  </si>
  <si>
    <t xml:space="preserve">A2 ngày 2/12 - nhóm 26/10</t>
  </si>
  <si>
    <t xml:space="preserve">LOSS TIME WHITE WOOD - 29/10/2026</t>
  </si>
  <si>
    <t xml:space="preserve">A2 ngày 12/12 - nhóm 16/10</t>
  </si>
  <si>
    <t xml:space="preserve">A2 ngày 10/12 - nhóm 19/10</t>
  </si>
  <si>
    <t xml:space="preserve">A2 ngày 9/12 - nhóm 20/10</t>
  </si>
  <si>
    <t xml:space="preserve">A2 ngày 8/12 - nhóm 21/10</t>
  </si>
  <si>
    <t xml:space="preserve">A2 ngày 7/12 - nhóm 22/10</t>
  </si>
  <si>
    <t xml:space="preserve">A2 ngày 5/12 - nhóm 23/10</t>
  </si>
  <si>
    <t xml:space="preserve">A2 ngày 3/12 - nhóm 26/10</t>
  </si>
  <si>
    <t xml:space="preserve">A2 ngày 2/12 - nhóm 27/10</t>
  </si>
  <si>
    <t xml:space="preserve">LOSS TIME WHITE WOOD - 30/10/2026</t>
  </si>
  <si>
    <t xml:space="preserve">A2 ngày 11/12 - nhóm 19/10</t>
  </si>
  <si>
    <t xml:space="preserve">A2 ngày 10/12 - nhóm 20/10</t>
  </si>
  <si>
    <t xml:space="preserve">A2 ngày 9/12 - nhóm 21/10</t>
  </si>
  <si>
    <t xml:space="preserve">A2 ngày 8/12 - nhóm 22/10</t>
  </si>
  <si>
    <t xml:space="preserve">A2 ngày 6/12 - nhóm 23/10</t>
  </si>
  <si>
    <t xml:space="preserve">A2 ngày 4/12 - nhóm 26/10</t>
  </si>
  <si>
    <t xml:space="preserve">A2 ngày 3/12 - nhóm 27/10</t>
  </si>
  <si>
    <t xml:space="preserve">A2 ngày 2/12 - nhóm 28/10</t>
  </si>
  <si>
    <t xml:space="preserve">TỔNG HỢP LOSS TIME LABOR (GIỜ CÔNG)</t>
  </si>
  <si>
    <t xml:space="preserve">Ngày 05/10/2026</t>
  </si>
  <si>
    <t xml:space="preserve">Tên</t>
  </si>
  <si>
    <t xml:space="preserve">Chưa rõ khu vực</t>
  </si>
  <si>
    <t xml:space="preserve">Ngày 06/10/2026</t>
  </si>
  <si>
    <t xml:space="preserve">Ngày 07/10/2026</t>
  </si>
  <si>
    <t xml:space="preserve">Ngày 08/10/2026</t>
  </si>
  <si>
    <t xml:space="preserve">Ngày 09/10/2026</t>
  </si>
  <si>
    <t xml:space="preserve">Ngày 10/10/2026</t>
  </si>
  <si>
    <t xml:space="preserve">Ngày 12/10/2026</t>
  </si>
  <si>
    <t xml:space="preserve">Ngày 13/10/2026</t>
  </si>
  <si>
    <t xml:space="preserve">Ngày 14/10/2026</t>
  </si>
  <si>
    <t xml:space="preserve">Ngày 15/10/2026</t>
  </si>
  <si>
    <t xml:space="preserve">Ngày 16/10/2026</t>
  </si>
  <si>
    <t xml:space="preserve">Ngày 17/10/2026</t>
  </si>
  <si>
    <t xml:space="preserve">Ngày 19/10/2026</t>
  </si>
  <si>
    <t xml:space="preserve">Ngày 20/10/2026</t>
  </si>
  <si>
    <t xml:space="preserve">Ngày 21/10/2026</t>
  </si>
  <si>
    <t xml:space="preserve">Ngày 22/10/2026</t>
  </si>
  <si>
    <t xml:space="preserve">Ngày 23/10/2026</t>
  </si>
  <si>
    <t xml:space="preserve">Ngày 24/10/2026</t>
  </si>
  <si>
    <t xml:space="preserve">Ngày 25/10/2026</t>
  </si>
  <si>
    <t xml:space="preserve">Ngày 26/10/2026</t>
  </si>
  <si>
    <t xml:space="preserve">Ngày 27/10/2026</t>
  </si>
  <si>
    <t xml:space="preserve">Ngày 28/10/2026</t>
  </si>
  <si>
    <t xml:space="preserve">Ngày 29/10/2026</t>
  </si>
  <si>
    <t xml:space="preserve">Ngày 30/10/2026</t>
  </si>
  <si>
    <t xml:space="preserve">Chưa gồm các mã lỗi máy móc và các mã khác theo yêu cầu.</t>
  </si>
  <si>
    <t xml:space="preserve">NHÂN VIÊN MỚI: P22 VÀ A2 THEO TỪNG NGÀY</t>
  </si>
  <si>
    <t xml:space="preserve">Nhóm (ngày vào làm)</t>
  </si>
  <si>
    <t xml:space="preserve">Khu vực</t>
  </si>
  <si>
    <t xml:space="preserve">Mã ngày 05/10</t>
  </si>
  <si>
    <t xml:space="preserve">Mã ngày 06/10</t>
  </si>
  <si>
    <t xml:space="preserve">Mã ngày 07/10</t>
  </si>
  <si>
    <t xml:space="preserve">Mã ngày 08/10</t>
  </si>
  <si>
    <t xml:space="preserve">Mã ngày 09/10</t>
  </si>
  <si>
    <t xml:space="preserve">Mã ngày 10/10</t>
  </si>
  <si>
    <t xml:space="preserve">Mã ngày 12/10</t>
  </si>
  <si>
    <t xml:space="preserve">Mã ngày 13/10</t>
  </si>
  <si>
    <t xml:space="preserve">Mã ngày 14/10</t>
  </si>
  <si>
    <t xml:space="preserve">Mã ngày 15/10</t>
  </si>
  <si>
    <t xml:space="preserve">Mã ngày 16/10</t>
  </si>
  <si>
    <t xml:space="preserve">Mã ngày 17/10</t>
  </si>
  <si>
    <t xml:space="preserve">Mã ngày 19/10</t>
  </si>
  <si>
    <t xml:space="preserve">Mã ngày 20/10</t>
  </si>
  <si>
    <t xml:space="preserve">Mã ngày 21/10</t>
  </si>
  <si>
    <t xml:space="preserve">Mã ngày 22/10</t>
  </si>
  <si>
    <t xml:space="preserve">Mã ngày 23/10</t>
  </si>
  <si>
    <t xml:space="preserve">Mã ngày 24/10</t>
  </si>
  <si>
    <t xml:space="preserve">Mã ngày 25/10</t>
  </si>
  <si>
    <t xml:space="preserve">Mã ngày 26/10</t>
  </si>
  <si>
    <t xml:space="preserve">Mã ngày 27/10</t>
  </si>
  <si>
    <t xml:space="preserve">Mã ngày 28/10</t>
  </si>
  <si>
    <t xml:space="preserve">Mã ngày 29/10</t>
  </si>
  <si>
    <t xml:space="preserve">Mã ngày 30/10</t>
  </si>
  <si>
    <t xml:space="preserve">Ngày cuối A2 (không tính CN)</t>
  </si>
  <si>
    <t xml:space="preserve">28/10</t>
  </si>
  <si>
    <t xml:space="preserve">-</t>
  </si>
  <si>
    <t xml:space="preserve">A2 ngày 1</t>
  </si>
  <si>
    <t xml:space="preserve">A2 ngày 2</t>
  </si>
  <si>
    <t xml:space="preserve">27/10</t>
  </si>
  <si>
    <t xml:space="preserve">A2 ngày 3</t>
  </si>
  <si>
    <t xml:space="preserve">26/10</t>
  </si>
  <si>
    <t xml:space="preserve">A2 ngày 4</t>
  </si>
  <si>
    <t xml:space="preserve">23/10</t>
  </si>
  <si>
    <t xml:space="preserve">A2 ngày 5</t>
  </si>
  <si>
    <t xml:space="preserve">A2 ngày 6</t>
  </si>
  <si>
    <t xml:space="preserve">22/10</t>
  </si>
  <si>
    <t xml:space="preserve">A2 ngày 7</t>
  </si>
  <si>
    <t xml:space="preserve">A2 ngày 8</t>
  </si>
  <si>
    <t xml:space="preserve">21/10</t>
  </si>
  <si>
    <t xml:space="preserve">A2 ngày 9</t>
  </si>
  <si>
    <t xml:space="preserve">20/10</t>
  </si>
  <si>
    <t xml:space="preserve">A2 ngày 10</t>
  </si>
  <si>
    <t xml:space="preserve">19/10</t>
  </si>
  <si>
    <t xml:space="preserve">A2 ngày 11</t>
  </si>
  <si>
    <t xml:space="preserve">16/10</t>
  </si>
  <si>
    <t xml:space="preserve">A2 ngày 12</t>
  </si>
  <si>
    <t xml:space="preserve">Đã xong</t>
  </si>
  <si>
    <t xml:space="preserve">15/10</t>
  </si>
  <si>
    <t xml:space="preserve">14/10</t>
  </si>
  <si>
    <t xml:space="preserve">13/10</t>
  </si>
  <si>
    <t xml:space="preserve">12/10</t>
  </si>
  <si>
    <t xml:space="preserve">09/10</t>
  </si>
  <si>
    <t xml:space="preserve">08/10</t>
  </si>
  <si>
    <t xml:space="preserve">07/10</t>
  </si>
  <si>
    <t xml:space="preserve">06/10</t>
  </si>
  <si>
    <t xml:space="preserve">05/10</t>
  </si>
  <si>
    <t xml:space="preserve">18/9</t>
  </si>
  <si>
    <t xml:space="preserve">23/9</t>
  </si>
  <si>
    <t xml:space="preserve">24/9</t>
  </si>
  <si>
    <t xml:space="preserve">25/9</t>
  </si>
  <si>
    <t xml:space="preserve">28/9</t>
  </si>
  <si>
    <t xml:space="preserve">21/9</t>
  </si>
  <si>
    <t xml:space="preserve">22/9</t>
  </si>
  <si>
    <t xml:space="preserve">26/9</t>
  </si>
  <si>
    <t xml:space="preserve">Quy ước: P22 ngày đầu (8:00-16:00); A2 các ngày sau (12 ngày làm việc, bỏ Chủ nhật), giờ A2 gần nhất trong file là 7:30-12:00.</t>
  </si>
  <si>
    <t xml:space="preserve">Số ngày A2 đã ghi của các nhóm cũ được đếm theo số ngày thực tế có dòng A2 trong file Loss time (đến 03/10); HC lấy theo ngày ghi gần nhất.</t>
  </si>
  <si>
    <t xml:space="preserve">Nhóm 18/9 Assembly: dòng A2 cuối là 02/10, không có 03/10. Nếu 03/10 bị bỏ sót thì số ngày A2 của nhóm này lớn hơn 1 ngày.</t>
  </si>
  <si>
    <t xml:space="preserve">Nhóm 19/9 Assembly (13 ngày) và 19/9 Machining (12 ngày) đã đủ A2 trước 05/10 nên không ghi. Nếu quy định là 13 ngày thì Machining 19/9 (8 người) còn 1 ngày.</t>
  </si>
  <si>
    <t xml:space="preserve">Người ghi "0" ở cột CT/TV vẫn tính vào HC (05/10: 1 người; 06/10: 3 người; 13/10: 3 người Raw Cutting Panel). Danh sách 07/10 không có cột CT/TV nên tính đủ 8 người; 08/10 có 4 người, đều NCU.</t>
  </si>
  <si>
    <t xml:space="preserve">Ngày 09/10 có 8 nhân viên mới (Assembly 6, Raw Cutting Panel 2; lấy theo P22 đã nhập trên hệ thống), A2 bắt đầu từ 10/10. Ngày 10/10 chưa thấy có nhân viên mới (chờ xác nhận).</t>
  </si>
  <si>
    <t xml:space="preserve">Chủ nhật 11/10 không làm nên không tính vào số ngày A2. Ngày 12/10 có 3 nhân viên mới (Assembly 2, Raw Cutting Panel 1), A2 bắt đầu từ 13/10. Ngày 13/10 có 7 nhân viên mới (Assembly 2, Raw Cutting Panel 4, Machining 1), ngày 14/10 có 1 (Assembly), ngày 15/10 có 4 (Assembly), ngày 16/10 có 1 nhân viên mới (Assembly, theo dòng P22 đã nhập trên hệ thống), ngày 17/10 không có nhân viên mới. Ngày 19/10 có 3 nhân viên mới (Assembly 2, Machining 1; người ghi "0" ở cột CT/TV vẫn tính vào HC), ngày 20/10 có 6 (Assembly 4, gồm 2 người dưới Mr.Dũng-Inlay; Machining 2). Thứ Bảy 17/10 không tăng ca (P26 và P20 Assembly 7:30-15:30). Ngày 21/10 có 5 nhân viên mới (Raw Cutting Panel 1, Machining 2, Assembly 2 gồm 1 người dưới Mr.Dũng-Inlay). Ngày 22/10 có 6 nhân viên mới (Raw Cutting Panel 3, Machining 1, Assembly 2; người ghi "0" ở cột CT/TV vẫn tính vào HC). Ngày 23/10 và 24/10 chưa có nhân viên mới (chờ báo). Thứ Bảy 24/10 mặc định không tăng ca (chờ xác nhận); Ngày 23/10 có 1 nhân viên mới Raw Cutting Panel (người ghi "0" ở cột CT/TV vẫn tính). Thứ Hai-Thứ Sáu luôn tăng ca (26/10 đến 30/10 theo mẫu ngày thường đến 20:00; chỉ Thứ Bảy, Chủ nhật không tăng ca). Ngày 26/10 có 2 nhân viên mới Assembly; 27/10 có 5 (Assembly 4 gồm 1 người dưới Mr.Dũng-Inlay, Raw Cutting Panel 1, người ghi "0" ở cột CT/TV vẫn tính); 28/10 có 6 (Assembly 2, Machining 2, Raw Cutting 2 gồm 1 Raw Cutting Wood và 1 Raw Cutting Panel, ghi chung một dòng Raw Cutting); 29/10 và 30/10 chưa có nhân viên mới (chờ báo), từ 26/10 A2 của các nhóm Assembly cộng thêm 1 ngày vì Chủ nhật 25/10 đã tính. Chủ nhật 25/10 chỉ Assembly làm, không tăng ca: P20 và P26 của Assembly ghi 7:30-15:30; A2 của các nhóm Assembly vẫn ghi và tính là một ngày (theo tiền lệ 27/9). Từ 19/10 đến 23/10 ghi theo mẫu ngày thường có tăng ca đến 20:00 (cần xác nhận). Tài xế xe nâng (Machining 12/10, nhóm IDL-Forklift) không tính theo yêu cầu.</t>
  </si>
  <si>
    <t xml:space="preserve">Thứ Bảy 10/10 không tăng ca: P26 và P20 Assembly ghi 7:30-15:30 (sớm 30 phút so với ca ngày thường 7:30-16:00); 4 dòng P20 ngắn ghi 7:00-7:30 theo mặc định, chờ xác nhận.</t>
  </si>
  <si>
    <t xml:space="preserve">LỊCH A2 CỦA TỪNG NHÓM NHÂN VIÊN MỚI (12 ngày làm việc, bỏ Chủ nhật)</t>
  </si>
  <si>
    <t xml:space="preserve">Ngày P22</t>
  </si>
  <si>
    <t xml:space="preserve">Mỗi ngày trong lịch ghi A2 7:30-12:00, Notes "HC mới- 50% hiệu suất- 2 tuần-dd/mm" (dd/mm = ngày vào làm). Khi có nhóm mới, thêm một dòng.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</si>
</sst>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h:mm;@"/>
    <numFmt numFmtId="167" formatCode="0.0"/>
    <numFmt numFmtId="168" formatCode="#,##0.0;\-#,##0.0;\-"/>
    <numFmt numFmtId="169" formatCode="d\-mmm\-yyyy"/>
    <numFmt numFmtId="170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54</v>
      </c>
      <c r="L24" s="15" t="s">
        <v>55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56</v>
      </c>
      <c r="L25" s="15" t="s">
        <v>57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46300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59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46300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63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46300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65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46300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67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56</v>
      </c>
      <c r="L31" s="15" t="s">
        <v>57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9</v>
      </c>
      <c r="Q31" s="17" t="n">
        <f aca="false">P31*O31</f>
        <v>40.5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46300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58</v>
      </c>
      <c r="L32" s="15" t="s">
        <v>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46300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60</v>
      </c>
      <c r="L33" s="15" t="s">
        <v>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46300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66</v>
      </c>
      <c r="L34" s="15" t="s">
        <v>67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46300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69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46300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58</v>
      </c>
      <c r="L36" s="15" t="s">
        <v>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46300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70</v>
      </c>
      <c r="L37" s="15" t="s">
        <v>71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46300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56</v>
      </c>
      <c r="L38" s="15" t="s">
        <v>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46300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60</v>
      </c>
      <c r="L39" s="15" t="s">
        <v>74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531.5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77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7</v>
      </c>
      <c r="Q23" s="12" t="n">
        <f aca="false">P23*O23</f>
        <v>56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46301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46301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3</v>
      </c>
      <c r="Q25" s="12" t="n">
        <f aca="false">P25*O25</f>
        <v>24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46301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78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56</v>
      </c>
      <c r="L27" s="15" t="s">
        <v>79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58</v>
      </c>
      <c r="L28" s="15" t="s">
        <v>80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5</v>
      </c>
      <c r="Q28" s="17" t="n">
        <f aca="false">P28*O28</f>
        <v>22.5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60</v>
      </c>
      <c r="L29" s="15" t="s">
        <v>81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62</v>
      </c>
      <c r="L30" s="15" t="s">
        <v>82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64</v>
      </c>
      <c r="L31" s="15" t="s">
        <v>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66</v>
      </c>
      <c r="L32" s="15" t="s">
        <v>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56</v>
      </c>
      <c r="L33" s="15" t="s">
        <v>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9</v>
      </c>
      <c r="Q33" s="17" t="n">
        <f aca="false">P33*O33</f>
        <v>40.5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58</v>
      </c>
      <c r="L34" s="15" t="s">
        <v>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3</v>
      </c>
      <c r="Q34" s="17" t="n">
        <f aca="false">P34*O34</f>
        <v>13.5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60</v>
      </c>
      <c r="L35" s="15" t="s">
        <v>81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46301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66</v>
      </c>
      <c r="L36" s="15" t="s">
        <v>84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46301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85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46301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58</v>
      </c>
      <c r="L38" s="15" t="s">
        <v>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46301</v>
      </c>
      <c r="C39" s="13"/>
      <c r="D39" s="13"/>
      <c r="E39" s="13"/>
      <c r="F39" s="13"/>
      <c r="G39" s="13" t="s">
        <v>68</v>
      </c>
      <c r="H39" s="13" t="s">
        <v>52</v>
      </c>
      <c r="I39" s="15" t="s">
        <v>53</v>
      </c>
      <c r="J39" s="13" t="s">
        <v>50</v>
      </c>
      <c r="K39" s="15" t="s">
        <v>70</v>
      </c>
      <c r="L39" s="15" t="s">
        <v>86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56</v>
      </c>
      <c r="L40" s="15" t="s">
        <v>69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60</v>
      </c>
      <c r="L41" s="15" t="s">
        <v>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46301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87</v>
      </c>
      <c r="L42" s="15" t="s">
        <v>88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6</v>
      </c>
      <c r="Q42" s="17" t="n">
        <f aca="false">P42*O42</f>
        <v>27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622.5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90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56</v>
      </c>
      <c r="L26" s="15" t="s">
        <v>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92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93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62</v>
      </c>
      <c r="L29" s="15" t="s">
        <v>94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64</v>
      </c>
      <c r="L30" s="15" t="s">
        <v>95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96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46302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91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9</v>
      </c>
      <c r="Q32" s="17" t="n">
        <f aca="false">P32*O32</f>
        <v>40.5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92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46302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60</v>
      </c>
      <c r="L34" s="15" t="s">
        <v>93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46302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66</v>
      </c>
      <c r="L35" s="15" t="s">
        <v>96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46302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56</v>
      </c>
      <c r="L36" s="15" t="s">
        <v>97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46302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58</v>
      </c>
      <c r="L37" s="15" t="s">
        <v>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46302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70</v>
      </c>
      <c r="L38" s="15" t="s">
        <v>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46302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56</v>
      </c>
      <c r="L39" s="15" t="s">
        <v>85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3</v>
      </c>
      <c r="Q39" s="17" t="n">
        <f aca="false">P39*O39</f>
        <v>13.5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60</v>
      </c>
      <c r="L40" s="15" t="s">
        <v>81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87</v>
      </c>
      <c r="L41" s="15" t="s">
        <v>99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46302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101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7</v>
      </c>
      <c r="Q42" s="17" t="n">
        <f aca="false">P42*O42</f>
        <v>31.5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46302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100</v>
      </c>
      <c r="L43" s="15" t="s">
        <v>101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4</v>
      </c>
      <c r="Q43" s="17" t="n">
        <f aca="false">P43*O43</f>
        <v>18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46302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100</v>
      </c>
      <c r="L44" s="15" t="s">
        <v>101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637.5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102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46303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3</v>
      </c>
      <c r="Q24" s="12" t="n">
        <f aca="false">P24*O24</f>
        <v>24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103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104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105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106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107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108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46303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46303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108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46303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109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46303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46303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110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46303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97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111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112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112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46303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112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46303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114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46303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114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587.5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115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46304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116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117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46304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118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46304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119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120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121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46304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117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118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46304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121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46304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122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46304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117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46304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123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109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105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46304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124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125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46304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125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46304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125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46304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126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46304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126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46304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128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46304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128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637.5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129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130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46305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131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132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133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134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135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131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46305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46305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135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46305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57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46305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131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46305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136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122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137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138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138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46305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138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139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46305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139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46305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140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46305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140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46305</v>
      </c>
      <c r="C45" s="13"/>
      <c r="D45" s="13"/>
      <c r="E45" s="13"/>
      <c r="F45" s="13"/>
      <c r="G45" s="13" t="s">
        <v>28</v>
      </c>
      <c r="H45" s="13" t="s">
        <v>52</v>
      </c>
      <c r="I45" s="15" t="s">
        <v>53</v>
      </c>
      <c r="J45" s="13" t="s">
        <v>50</v>
      </c>
      <c r="K45" s="15" t="s">
        <v>141</v>
      </c>
      <c r="L45" s="15" t="s">
        <v>142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6</v>
      </c>
      <c r="Q45" s="17" t="n">
        <f aca="false">P45*O45</f>
        <v>27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46305</v>
      </c>
      <c r="C46" s="13"/>
      <c r="D46" s="13"/>
      <c r="E46" s="13"/>
      <c r="F46" s="13"/>
      <c r="G46" s="13" t="s">
        <v>72</v>
      </c>
      <c r="H46" s="13" t="s">
        <v>52</v>
      </c>
      <c r="I46" s="15" t="s">
        <v>53</v>
      </c>
      <c r="J46" s="13" t="s">
        <v>50</v>
      </c>
      <c r="K46" s="15" t="s">
        <v>141</v>
      </c>
      <c r="L46" s="15" t="s">
        <v>142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2</v>
      </c>
      <c r="Q46" s="17" t="n">
        <f aca="false">P46*O46</f>
        <v>9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519.5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143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46307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46307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46307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144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46307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145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46307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146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147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46307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148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46307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149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46307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145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46307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146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46307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149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46307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79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46307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145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46307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150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46307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57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46307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132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46307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151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152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46307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152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46307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152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46307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153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46307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153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46307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154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46307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154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46307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155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46307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155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P49" s="18" t="s">
        <v>75</v>
      </c>
      <c r="Q49" s="19" t="n">
        <f aca="false">SUM(Q3:Q48)</f>
        <v>633.5</v>
      </c>
    </row>
    <row r="51" customFormat="false" ht="15" hidden="false" customHeight="false" outlineLevel="0" collapsed="false">
      <c r="A51" s="20" t="s">
        <v>76</v>
      </c>
    </row>
  </sheetData>
  <autoFilter ref="A2:Q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156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46308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46308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W42</v>
      </c>
      <c r="B25" s="9" t="n">
        <v>46308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1</v>
      </c>
      <c r="Q25" s="12" t="n">
        <f aca="false">P25*O25</f>
        <v>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157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158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159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160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161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46308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158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46308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46308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46308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46308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158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46308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162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146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163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164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164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164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165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46308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165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46308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166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46308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166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46308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167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46308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167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A49" s="13" t="str">
        <f aca="false">"W"&amp;WEEKNUM(B49,21)</f>
        <v>W42</v>
      </c>
      <c r="B49" s="14" t="n">
        <v>46308</v>
      </c>
      <c r="C49" s="13"/>
      <c r="D49" s="13"/>
      <c r="E49" s="13"/>
      <c r="F49" s="13"/>
      <c r="G49" s="13" t="s">
        <v>28</v>
      </c>
      <c r="H49" s="13" t="s">
        <v>52</v>
      </c>
      <c r="I49" s="15" t="s">
        <v>53</v>
      </c>
      <c r="J49" s="13" t="s">
        <v>50</v>
      </c>
      <c r="K49" s="15" t="s">
        <v>168</v>
      </c>
      <c r="L49" s="15" t="s">
        <v>169</v>
      </c>
      <c r="M49" s="16" t="n">
        <v>0.3125</v>
      </c>
      <c r="N49" s="16" t="n">
        <v>0.5</v>
      </c>
      <c r="O49" s="17" t="n">
        <f aca="false">(N49-M49)*24</f>
        <v>4.5</v>
      </c>
      <c r="P49" s="13" t="n">
        <v>2</v>
      </c>
      <c r="Q49" s="17" t="n">
        <f aca="false">P49*O49</f>
        <v>9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46308</v>
      </c>
      <c r="C50" s="13"/>
      <c r="D50" s="13"/>
      <c r="E50" s="13"/>
      <c r="F50" s="13"/>
      <c r="G50" s="13" t="s">
        <v>72</v>
      </c>
      <c r="H50" s="13" t="s">
        <v>52</v>
      </c>
      <c r="I50" s="15" t="s">
        <v>53</v>
      </c>
      <c r="J50" s="13" t="s">
        <v>50</v>
      </c>
      <c r="K50" s="15" t="s">
        <v>168</v>
      </c>
      <c r="L50" s="15" t="s">
        <v>169</v>
      </c>
      <c r="M50" s="16" t="n">
        <v>0.3125</v>
      </c>
      <c r="N50" s="16" t="n">
        <v>0.5</v>
      </c>
      <c r="O50" s="17" t="n">
        <f aca="false">(N50-M50)*24</f>
        <v>4.5</v>
      </c>
      <c r="P50" s="13" t="n">
        <v>1</v>
      </c>
      <c r="Q50" s="17" t="n">
        <f aca="false">P50*O50</f>
        <v>4.5</v>
      </c>
    </row>
    <row r="51" customFormat="false" ht="15" hidden="false" customHeight="false" outlineLevel="0" collapsed="false">
      <c r="P51" s="18" t="s">
        <v>75</v>
      </c>
      <c r="Q51" s="19" t="n">
        <f aca="false">SUM(Q3:Q50)</f>
        <v>665.5</v>
      </c>
    </row>
    <row r="53" customFormat="false" ht="15" hidden="false" customHeight="false" outlineLevel="0" collapsed="false">
      <c r="A53" s="20" t="s">
        <v>76</v>
      </c>
    </row>
  </sheetData>
  <autoFilter ref="A2:Q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46309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46309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56</v>
      </c>
      <c r="L24" s="15" t="s">
        <v>91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3</v>
      </c>
      <c r="Q24" s="17" t="n">
        <f aca="false">P24*O24</f>
        <v>13.5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46309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159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46309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87</v>
      </c>
      <c r="L26" s="15" t="s">
        <v>171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46309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172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7</v>
      </c>
      <c r="Q27" s="17" t="n">
        <f aca="false">P27*O27</f>
        <v>31.5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46309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172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46309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100</v>
      </c>
      <c r="L29" s="15" t="s">
        <v>172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173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46309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113</v>
      </c>
      <c r="L31" s="15" t="s">
        <v>173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46309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174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46309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127</v>
      </c>
      <c r="L33" s="15" t="s">
        <v>174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46309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175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6</v>
      </c>
      <c r="Q34" s="17" t="n">
        <f aca="false">P34*O34</f>
        <v>27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141</v>
      </c>
      <c r="L35" s="15" t="s">
        <v>175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46309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176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46309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168</v>
      </c>
      <c r="L37" s="15" t="s">
        <v>176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46309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178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46309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178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46309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177</v>
      </c>
      <c r="L40" s="15" t="s">
        <v>178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523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180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181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46310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181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46310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181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182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46310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182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46310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183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46310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46310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184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185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185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46310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186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46310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186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46310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186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46310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188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533.5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190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191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191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192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46311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192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46311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193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193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194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46311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194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46311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195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195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46311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196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46311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196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46311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196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46311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197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199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527.5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200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W42</v>
      </c>
      <c r="B23" s="14" t="n">
        <v>46312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201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46312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202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202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202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203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46312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203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46312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204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204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46312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205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6</v>
      </c>
      <c r="Q31" s="17" t="n">
        <f aca="false">P31*O31</f>
        <v>27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46312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206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206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46312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207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46312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207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46312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207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46312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187</v>
      </c>
      <c r="L38" s="15" t="s">
        <v>208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198</v>
      </c>
      <c r="L39" s="15" t="s">
        <v>209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46312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210</v>
      </c>
      <c r="L40" s="15" t="s">
        <v>211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434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212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46314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87</v>
      </c>
      <c r="L25" s="15" t="s">
        <v>213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6</v>
      </c>
      <c r="Q25" s="17" t="n">
        <f aca="false">P25*O25</f>
        <v>27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214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46314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214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4</v>
      </c>
      <c r="Q27" s="17" t="n">
        <f aca="false">P27*O27</f>
        <v>18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46314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214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46314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215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6</v>
      </c>
      <c r="Q29" s="17" t="n">
        <f aca="false">P29*O29</f>
        <v>27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46314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215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46314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216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216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217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6</v>
      </c>
      <c r="Q33" s="17" t="n">
        <f aca="false">P33*O33</f>
        <v>27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217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218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46314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218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46314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219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219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46314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219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187</v>
      </c>
      <c r="L40" s="15" t="s">
        <v>220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46314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198</v>
      </c>
      <c r="L41" s="15" t="s">
        <v>221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46314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210</v>
      </c>
      <c r="L42" s="15" t="s">
        <v>222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548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223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46315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46315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224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46315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224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224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46315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225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46315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225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46315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226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46315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226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46315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227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46315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227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46315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228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228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46315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229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46315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229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46315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229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46315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230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46315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231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210</v>
      </c>
      <c r="L41" s="15" t="s">
        <v>232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46315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233</v>
      </c>
      <c r="L42" s="15" t="s">
        <v>234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46315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233</v>
      </c>
      <c r="L43" s="15" t="s">
        <v>234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558.5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235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46316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46316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46316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46316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46316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46316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46316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46316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46316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46316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46316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46316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46316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46316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46316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46316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46316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46316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46316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46316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46316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46316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46316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46316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113</v>
      </c>
      <c r="L26" s="15" t="s">
        <v>236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46316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236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46316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127</v>
      </c>
      <c r="L28" s="15" t="s">
        <v>237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46316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237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46316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141</v>
      </c>
      <c r="L30" s="15" t="s">
        <v>238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46316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238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46316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168</v>
      </c>
      <c r="L32" s="15" t="s">
        <v>239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46316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239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46316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240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46316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240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46316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240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46316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187</v>
      </c>
      <c r="L37" s="15" t="s">
        <v>241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46316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198</v>
      </c>
      <c r="L38" s="15" t="s">
        <v>242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46316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210</v>
      </c>
      <c r="L39" s="15" t="s">
        <v>243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46316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233</v>
      </c>
      <c r="L40" s="15" t="s">
        <v>244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46316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233</v>
      </c>
      <c r="L41" s="15" t="s">
        <v>244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46316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245</v>
      </c>
      <c r="L42" s="15" t="s">
        <v>246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4</v>
      </c>
      <c r="Q42" s="17" t="n">
        <f aca="false">P42*O42</f>
        <v>18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46316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245</v>
      </c>
      <c r="L43" s="15" t="s">
        <v>246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514.5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247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46317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3</v>
      </c>
      <c r="Q23" s="12" t="n">
        <f aca="false">P23*O23</f>
        <v>24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46317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46317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46317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127</v>
      </c>
      <c r="L26" s="15" t="s">
        <v>248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46317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127</v>
      </c>
      <c r="L27" s="15" t="s">
        <v>248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141</v>
      </c>
      <c r="L28" s="15" t="s">
        <v>249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46317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141</v>
      </c>
      <c r="L29" s="15" t="s">
        <v>249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46317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168</v>
      </c>
      <c r="L30" s="15" t="s">
        <v>250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46317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168</v>
      </c>
      <c r="L31" s="15" t="s">
        <v>250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46317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177</v>
      </c>
      <c r="L32" s="15" t="s">
        <v>251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46317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177</v>
      </c>
      <c r="L33" s="15" t="s">
        <v>251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46317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251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46317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187</v>
      </c>
      <c r="L35" s="15" t="s">
        <v>252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46317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198</v>
      </c>
      <c r="L36" s="15" t="s">
        <v>253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46317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210</v>
      </c>
      <c r="L37" s="15" t="s">
        <v>254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46317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233</v>
      </c>
      <c r="L38" s="15" t="s">
        <v>255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46317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233</v>
      </c>
      <c r="L39" s="15" t="s">
        <v>255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245</v>
      </c>
      <c r="L40" s="15" t="s">
        <v>256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46317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245</v>
      </c>
      <c r="L41" s="15" t="s">
        <v>256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2</v>
      </c>
      <c r="Q41" s="17" t="n">
        <f aca="false">P41*O41</f>
        <v>9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46317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257</v>
      </c>
      <c r="L42" s="15" t="s">
        <v>258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46317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257</v>
      </c>
      <c r="L43" s="15" t="s">
        <v>258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A44" s="13" t="str">
        <f aca="false">"W"&amp;WEEKNUM(B44,21)</f>
        <v>W43</v>
      </c>
      <c r="B44" s="14" t="n">
        <v>46317</v>
      </c>
      <c r="C44" s="13"/>
      <c r="D44" s="13"/>
      <c r="E44" s="13"/>
      <c r="F44" s="13"/>
      <c r="G44" s="13" t="s">
        <v>28</v>
      </c>
      <c r="H44" s="13" t="s">
        <v>52</v>
      </c>
      <c r="I44" s="15" t="s">
        <v>53</v>
      </c>
      <c r="J44" s="13" t="s">
        <v>50</v>
      </c>
      <c r="K44" s="15" t="s">
        <v>257</v>
      </c>
      <c r="L44" s="15" t="s">
        <v>258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509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259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46318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46318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141</v>
      </c>
      <c r="L24" s="15" t="s">
        <v>260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46318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141</v>
      </c>
      <c r="L25" s="15" t="s">
        <v>260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168</v>
      </c>
      <c r="L26" s="15" t="s">
        <v>261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2</v>
      </c>
      <c r="Q26" s="17" t="n">
        <f aca="false">P26*O26</f>
        <v>9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46318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168</v>
      </c>
      <c r="L27" s="15" t="s">
        <v>261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177</v>
      </c>
      <c r="L28" s="15" t="s">
        <v>262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46318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177</v>
      </c>
      <c r="L29" s="15" t="s">
        <v>262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177</v>
      </c>
      <c r="L30" s="15" t="s">
        <v>262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46318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187</v>
      </c>
      <c r="L31" s="15" t="s">
        <v>263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46318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198</v>
      </c>
      <c r="L32" s="15" t="s">
        <v>264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46318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210</v>
      </c>
      <c r="L33" s="15" t="s">
        <v>265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46318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233</v>
      </c>
      <c r="L34" s="15" t="s">
        <v>266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46318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233</v>
      </c>
      <c r="L35" s="15" t="s">
        <v>266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46318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245</v>
      </c>
      <c r="L36" s="15" t="s">
        <v>267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46318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245</v>
      </c>
      <c r="L37" s="15" t="s">
        <v>267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257</v>
      </c>
      <c r="L38" s="15" t="s">
        <v>268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46318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257</v>
      </c>
      <c r="L39" s="15" t="s">
        <v>268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257</v>
      </c>
      <c r="L40" s="15" t="s">
        <v>268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269</v>
      </c>
      <c r="L41" s="15" t="s">
        <v>270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3</v>
      </c>
      <c r="Q41" s="17" t="n">
        <f aca="false">P41*O41</f>
        <v>13.5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269</v>
      </c>
      <c r="L42" s="15" t="s">
        <v>270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269</v>
      </c>
      <c r="L43" s="15" t="s">
        <v>270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478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271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46319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168</v>
      </c>
      <c r="L23" s="15" t="s">
        <v>272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2</v>
      </c>
      <c r="Q23" s="17" t="n">
        <f aca="false">P23*O23</f>
        <v>9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168</v>
      </c>
      <c r="L24" s="15" t="s">
        <v>272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46319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273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46319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273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46319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273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46319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187</v>
      </c>
      <c r="L28" s="15" t="s">
        <v>274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46319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198</v>
      </c>
      <c r="L29" s="15" t="s">
        <v>275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210</v>
      </c>
      <c r="L30" s="15" t="s">
        <v>276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46319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277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46319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233</v>
      </c>
      <c r="L32" s="15" t="s">
        <v>277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46319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278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46319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245</v>
      </c>
      <c r="L34" s="15" t="s">
        <v>278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279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46319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279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46319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279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46319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280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46319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280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46319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280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46319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281</v>
      </c>
      <c r="L41" s="15" t="s">
        <v>282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P42" s="18" t="s">
        <v>75</v>
      </c>
      <c r="Q42" s="19" t="n">
        <f aca="false">SUM(Q3:Q41)</f>
        <v>348.5</v>
      </c>
    </row>
    <row r="44" customFormat="false" ht="15" hidden="false" customHeight="false" outlineLevel="0" collapsed="false">
      <c r="A44" s="20" t="s">
        <v>76</v>
      </c>
    </row>
  </sheetData>
  <autoFilter ref="A2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283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46320</v>
      </c>
      <c r="C3" s="3"/>
      <c r="D3" s="3"/>
      <c r="E3" s="3"/>
      <c r="F3" s="3"/>
      <c r="G3" s="3" t="s">
        <v>28</v>
      </c>
      <c r="H3" s="3" t="s">
        <v>19</v>
      </c>
      <c r="I3" s="5" t="s">
        <v>20</v>
      </c>
      <c r="J3" s="3" t="s">
        <v>28</v>
      </c>
      <c r="K3" s="5" t="s">
        <v>29</v>
      </c>
      <c r="L3" s="5"/>
      <c r="M3" s="6" t="n">
        <v>0.3125</v>
      </c>
      <c r="N3" s="6" t="n">
        <v>0.645833333333333</v>
      </c>
      <c r="O3" s="7" t="n">
        <f aca="false">(N3-M3)*24</f>
        <v>8</v>
      </c>
      <c r="P3" s="3" t="n">
        <v>2</v>
      </c>
      <c r="Q3" s="7" t="n">
        <f aca="false">P3*O3</f>
        <v>16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46320</v>
      </c>
      <c r="C4" s="3"/>
      <c r="D4" s="3"/>
      <c r="E4" s="3"/>
      <c r="F4" s="3"/>
      <c r="G4" s="3" t="s">
        <v>28</v>
      </c>
      <c r="H4" s="3" t="s">
        <v>30</v>
      </c>
      <c r="I4" s="5" t="s">
        <v>31</v>
      </c>
      <c r="J4" s="3" t="s">
        <v>28</v>
      </c>
      <c r="K4" s="5" t="s">
        <v>46</v>
      </c>
      <c r="L4" s="5" t="s">
        <v>33</v>
      </c>
      <c r="M4" s="6" t="n">
        <v>0.3125</v>
      </c>
      <c r="N4" s="6" t="n">
        <v>0.645833333333333</v>
      </c>
      <c r="O4" s="7" t="n">
        <f aca="false">(N4-M4)*24</f>
        <v>8</v>
      </c>
      <c r="P4" s="3" t="n">
        <v>1</v>
      </c>
      <c r="Q4" s="7" t="n">
        <f aca="false">P4*O4</f>
        <v>8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46320</v>
      </c>
      <c r="C5" s="3"/>
      <c r="D5" s="3"/>
      <c r="E5" s="3"/>
      <c r="F5" s="3"/>
      <c r="G5" s="3" t="s">
        <v>28</v>
      </c>
      <c r="H5" s="3" t="s">
        <v>30</v>
      </c>
      <c r="I5" s="5" t="s">
        <v>31</v>
      </c>
      <c r="J5" s="3" t="s">
        <v>28</v>
      </c>
      <c r="K5" s="5" t="s">
        <v>47</v>
      </c>
      <c r="L5" s="5" t="s">
        <v>38</v>
      </c>
      <c r="M5" s="6" t="n">
        <v>0.3125</v>
      </c>
      <c r="N5" s="6" t="n">
        <v>0.645833333333333</v>
      </c>
      <c r="O5" s="7" t="n">
        <f aca="false">(N5-M5)*24</f>
        <v>8</v>
      </c>
      <c r="P5" s="3" t="n">
        <v>1</v>
      </c>
      <c r="Q5" s="7" t="n">
        <f aca="false">P5*O5</f>
        <v>8</v>
      </c>
    </row>
    <row r="6" customFormat="false" ht="15" hidden="false" customHeight="false" outlineLevel="0" collapsed="false">
      <c r="A6" s="13" t="str">
        <f aca="false">"W"&amp;WEEKNUM(B6,21)</f>
        <v>W43</v>
      </c>
      <c r="B6" s="14" t="n">
        <v>46320</v>
      </c>
      <c r="C6" s="13"/>
      <c r="D6" s="13"/>
      <c r="E6" s="13"/>
      <c r="F6" s="13"/>
      <c r="G6" s="13" t="s">
        <v>28</v>
      </c>
      <c r="H6" s="13" t="s">
        <v>52</v>
      </c>
      <c r="I6" s="15" t="s">
        <v>53</v>
      </c>
      <c r="J6" s="13" t="s">
        <v>50</v>
      </c>
      <c r="K6" s="15" t="s">
        <v>168</v>
      </c>
      <c r="L6" s="15" t="s">
        <v>284</v>
      </c>
      <c r="M6" s="16" t="n">
        <v>0.3125</v>
      </c>
      <c r="N6" s="16" t="n">
        <v>0.5</v>
      </c>
      <c r="O6" s="17" t="n">
        <f aca="false">(N6-M6)*24</f>
        <v>4.5</v>
      </c>
      <c r="P6" s="13" t="n">
        <v>2</v>
      </c>
      <c r="Q6" s="17" t="n">
        <f aca="false">P6*O6</f>
        <v>9</v>
      </c>
    </row>
    <row r="7" customFormat="false" ht="15" hidden="false" customHeight="false" outlineLevel="0" collapsed="false">
      <c r="A7" s="13" t="str">
        <f aca="false">"W"&amp;WEEKNUM(B7,21)</f>
        <v>W43</v>
      </c>
      <c r="B7" s="14" t="n">
        <v>46320</v>
      </c>
      <c r="C7" s="13"/>
      <c r="D7" s="13"/>
      <c r="E7" s="13"/>
      <c r="F7" s="13"/>
      <c r="G7" s="13" t="s">
        <v>28</v>
      </c>
      <c r="H7" s="13" t="s">
        <v>52</v>
      </c>
      <c r="I7" s="15" t="s">
        <v>53</v>
      </c>
      <c r="J7" s="13" t="s">
        <v>50</v>
      </c>
      <c r="K7" s="15" t="s">
        <v>177</v>
      </c>
      <c r="L7" s="15" t="s">
        <v>285</v>
      </c>
      <c r="M7" s="16" t="n">
        <v>0.3125</v>
      </c>
      <c r="N7" s="16" t="n">
        <v>0.5</v>
      </c>
      <c r="O7" s="17" t="n">
        <f aca="false">(N7-M7)*24</f>
        <v>4.5</v>
      </c>
      <c r="P7" s="13" t="n">
        <v>2</v>
      </c>
      <c r="Q7" s="17" t="n">
        <f aca="false">P7*O7</f>
        <v>9</v>
      </c>
    </row>
    <row r="8" customFormat="false" ht="15" hidden="false" customHeight="false" outlineLevel="0" collapsed="false">
      <c r="A8" s="13" t="str">
        <f aca="false">"W"&amp;WEEKNUM(B8,21)</f>
        <v>W43</v>
      </c>
      <c r="B8" s="14" t="n">
        <v>46320</v>
      </c>
      <c r="C8" s="13"/>
      <c r="D8" s="13"/>
      <c r="E8" s="13"/>
      <c r="F8" s="13"/>
      <c r="G8" s="13" t="s">
        <v>28</v>
      </c>
      <c r="H8" s="13" t="s">
        <v>52</v>
      </c>
      <c r="I8" s="15" t="s">
        <v>53</v>
      </c>
      <c r="J8" s="13" t="s">
        <v>50</v>
      </c>
      <c r="K8" s="15" t="s">
        <v>187</v>
      </c>
      <c r="L8" s="15" t="s">
        <v>286</v>
      </c>
      <c r="M8" s="16" t="n">
        <v>0.3125</v>
      </c>
      <c r="N8" s="16" t="n">
        <v>0.5</v>
      </c>
      <c r="O8" s="17" t="n">
        <f aca="false">(N8-M8)*24</f>
        <v>4.5</v>
      </c>
      <c r="P8" s="13" t="n">
        <v>1</v>
      </c>
      <c r="Q8" s="17" t="n">
        <f aca="false">P8*O8</f>
        <v>4.5</v>
      </c>
    </row>
    <row r="9" customFormat="false" ht="15" hidden="false" customHeight="false" outlineLevel="0" collapsed="false">
      <c r="A9" s="13" t="str">
        <f aca="false">"W"&amp;WEEKNUM(B9,21)</f>
        <v>W43</v>
      </c>
      <c r="B9" s="14" t="n">
        <v>46320</v>
      </c>
      <c r="C9" s="13"/>
      <c r="D9" s="13"/>
      <c r="E9" s="13"/>
      <c r="F9" s="13"/>
      <c r="G9" s="13" t="s">
        <v>28</v>
      </c>
      <c r="H9" s="13" t="s">
        <v>52</v>
      </c>
      <c r="I9" s="15" t="s">
        <v>53</v>
      </c>
      <c r="J9" s="13" t="s">
        <v>50</v>
      </c>
      <c r="K9" s="15" t="s">
        <v>198</v>
      </c>
      <c r="L9" s="15" t="s">
        <v>287</v>
      </c>
      <c r="M9" s="16" t="n">
        <v>0.3125</v>
      </c>
      <c r="N9" s="16" t="n">
        <v>0.5</v>
      </c>
      <c r="O9" s="17" t="n">
        <f aca="false">(N9-M9)*24</f>
        <v>4.5</v>
      </c>
      <c r="P9" s="13" t="n">
        <v>4</v>
      </c>
      <c r="Q9" s="17" t="n">
        <f aca="false">P9*O9</f>
        <v>18</v>
      </c>
    </row>
    <row r="10" customFormat="false" ht="15" hidden="false" customHeight="false" outlineLevel="0" collapsed="false">
      <c r="A10" s="13" t="str">
        <f aca="false">"W"&amp;WEEKNUM(B10,21)</f>
        <v>W43</v>
      </c>
      <c r="B10" s="14" t="n">
        <v>46320</v>
      </c>
      <c r="C10" s="13"/>
      <c r="D10" s="13"/>
      <c r="E10" s="13"/>
      <c r="F10" s="13"/>
      <c r="G10" s="13" t="s">
        <v>28</v>
      </c>
      <c r="H10" s="13" t="s">
        <v>52</v>
      </c>
      <c r="I10" s="15" t="s">
        <v>53</v>
      </c>
      <c r="J10" s="13" t="s">
        <v>50</v>
      </c>
      <c r="K10" s="15" t="s">
        <v>210</v>
      </c>
      <c r="L10" s="15" t="s">
        <v>288</v>
      </c>
      <c r="M10" s="16" t="n">
        <v>0.3125</v>
      </c>
      <c r="N10" s="16" t="n">
        <v>0.5</v>
      </c>
      <c r="O10" s="17" t="n">
        <f aca="false">(N10-M10)*24</f>
        <v>4.5</v>
      </c>
      <c r="P10" s="13" t="n">
        <v>1</v>
      </c>
      <c r="Q10" s="17" t="n">
        <f aca="false">P10*O10</f>
        <v>4.5</v>
      </c>
    </row>
    <row r="11" customFormat="false" ht="15" hidden="false" customHeight="false" outlineLevel="0" collapsed="false">
      <c r="A11" s="13" t="str">
        <f aca="false">"W"&amp;WEEKNUM(B11,21)</f>
        <v>W43</v>
      </c>
      <c r="B11" s="14" t="n">
        <v>46320</v>
      </c>
      <c r="C11" s="13"/>
      <c r="D11" s="13"/>
      <c r="E11" s="13"/>
      <c r="F11" s="13"/>
      <c r="G11" s="13" t="s">
        <v>28</v>
      </c>
      <c r="H11" s="13" t="s">
        <v>52</v>
      </c>
      <c r="I11" s="15" t="s">
        <v>53</v>
      </c>
      <c r="J11" s="13" t="s">
        <v>50</v>
      </c>
      <c r="K11" s="15" t="s">
        <v>233</v>
      </c>
      <c r="L11" s="15" t="s">
        <v>289</v>
      </c>
      <c r="M11" s="16" t="n">
        <v>0.3125</v>
      </c>
      <c r="N11" s="16" t="n">
        <v>0.5</v>
      </c>
      <c r="O11" s="17" t="n">
        <f aca="false">(N11-M11)*24</f>
        <v>4.5</v>
      </c>
      <c r="P11" s="13" t="n">
        <v>2</v>
      </c>
      <c r="Q11" s="17" t="n">
        <f aca="false">P11*O11</f>
        <v>9</v>
      </c>
    </row>
    <row r="12" customFormat="false" ht="15" hidden="false" customHeight="false" outlineLevel="0" collapsed="false">
      <c r="A12" s="13" t="str">
        <f aca="false">"W"&amp;WEEKNUM(B12,21)</f>
        <v>W43</v>
      </c>
      <c r="B12" s="14" t="n">
        <v>46320</v>
      </c>
      <c r="C12" s="13"/>
      <c r="D12" s="13"/>
      <c r="E12" s="13"/>
      <c r="F12" s="13"/>
      <c r="G12" s="13" t="s">
        <v>28</v>
      </c>
      <c r="H12" s="13" t="s">
        <v>52</v>
      </c>
      <c r="I12" s="15" t="s">
        <v>53</v>
      </c>
      <c r="J12" s="13" t="s">
        <v>50</v>
      </c>
      <c r="K12" s="15" t="s">
        <v>245</v>
      </c>
      <c r="L12" s="15" t="s">
        <v>290</v>
      </c>
      <c r="M12" s="16" t="n">
        <v>0.3125</v>
      </c>
      <c r="N12" s="16" t="n">
        <v>0.5</v>
      </c>
      <c r="O12" s="17" t="n">
        <f aca="false">(N12-M12)*24</f>
        <v>4.5</v>
      </c>
      <c r="P12" s="13" t="n">
        <v>4</v>
      </c>
      <c r="Q12" s="17" t="n">
        <f aca="false">P12*O12</f>
        <v>18</v>
      </c>
    </row>
    <row r="13" customFormat="false" ht="15" hidden="false" customHeight="false" outlineLevel="0" collapsed="false">
      <c r="A13" s="13" t="str">
        <f aca="false">"W"&amp;WEEKNUM(B13,21)</f>
        <v>W43</v>
      </c>
      <c r="B13" s="14" t="n">
        <v>46320</v>
      </c>
      <c r="C13" s="13"/>
      <c r="D13" s="13"/>
      <c r="E13" s="13"/>
      <c r="F13" s="13"/>
      <c r="G13" s="13" t="s">
        <v>28</v>
      </c>
      <c r="H13" s="13" t="s">
        <v>52</v>
      </c>
      <c r="I13" s="15" t="s">
        <v>53</v>
      </c>
      <c r="J13" s="13" t="s">
        <v>50</v>
      </c>
      <c r="K13" s="15" t="s">
        <v>257</v>
      </c>
      <c r="L13" s="15" t="s">
        <v>291</v>
      </c>
      <c r="M13" s="16" t="n">
        <v>0.3125</v>
      </c>
      <c r="N13" s="16" t="n">
        <v>0.5</v>
      </c>
      <c r="O13" s="17" t="n">
        <f aca="false">(N13-M13)*24</f>
        <v>4.5</v>
      </c>
      <c r="P13" s="13" t="n">
        <v>2</v>
      </c>
      <c r="Q13" s="17" t="n">
        <f aca="false">P13*O13</f>
        <v>9</v>
      </c>
    </row>
    <row r="14" customFormat="false" ht="15" hidden="false" customHeight="false" outlineLevel="0" collapsed="false">
      <c r="A14" s="13" t="str">
        <f aca="false">"W"&amp;WEEKNUM(B14,21)</f>
        <v>W43</v>
      </c>
      <c r="B14" s="14" t="n">
        <v>46320</v>
      </c>
      <c r="C14" s="13"/>
      <c r="D14" s="13"/>
      <c r="E14" s="13"/>
      <c r="F14" s="13"/>
      <c r="G14" s="13" t="s">
        <v>28</v>
      </c>
      <c r="H14" s="13" t="s">
        <v>52</v>
      </c>
      <c r="I14" s="15" t="s">
        <v>53</v>
      </c>
      <c r="J14" s="13" t="s">
        <v>50</v>
      </c>
      <c r="K14" s="15" t="s">
        <v>269</v>
      </c>
      <c r="L14" s="15" t="s">
        <v>292</v>
      </c>
      <c r="M14" s="16" t="n">
        <v>0.3125</v>
      </c>
      <c r="N14" s="16" t="n">
        <v>0.5</v>
      </c>
      <c r="O14" s="17" t="n">
        <f aca="false">(N14-M14)*24</f>
        <v>4.5</v>
      </c>
      <c r="P14" s="13" t="n">
        <v>2</v>
      </c>
      <c r="Q14" s="17" t="n">
        <f aca="false">P14*O14</f>
        <v>9</v>
      </c>
    </row>
    <row r="15" customFormat="false" ht="15" hidden="false" customHeight="false" outlineLevel="0" collapsed="false">
      <c r="A15" s="13" t="str">
        <f aca="false">"W"&amp;WEEKNUM(B15,21)</f>
        <v>W43</v>
      </c>
      <c r="B15" s="14" t="n">
        <v>46320</v>
      </c>
      <c r="C15" s="13"/>
      <c r="D15" s="13"/>
      <c r="E15" s="13"/>
      <c r="F15" s="13"/>
      <c r="G15" s="13" t="s">
        <v>28</v>
      </c>
      <c r="H15" s="13" t="s">
        <v>52</v>
      </c>
      <c r="I15" s="15" t="s">
        <v>53</v>
      </c>
      <c r="J15" s="13" t="s">
        <v>50</v>
      </c>
      <c r="K15" s="15" t="s">
        <v>293</v>
      </c>
      <c r="L15" s="15" t="s">
        <v>294</v>
      </c>
      <c r="M15" s="16" t="n">
        <v>0.3125</v>
      </c>
      <c r="N15" s="16" t="n">
        <v>0.5</v>
      </c>
      <c r="O15" s="17" t="n">
        <f aca="false">(N15-M15)*24</f>
        <v>4.5</v>
      </c>
      <c r="P15" s="13" t="n">
        <v>2</v>
      </c>
      <c r="Q15" s="17" t="n">
        <f aca="false">P15*O15</f>
        <v>9</v>
      </c>
    </row>
    <row r="16" customFormat="false" ht="15" hidden="false" customHeight="false" outlineLevel="0" collapsed="false">
      <c r="A16" s="13" t="str">
        <f aca="false">"W"&amp;WEEKNUM(B16,21)</f>
        <v>W43</v>
      </c>
      <c r="B16" s="14" t="n">
        <v>46320</v>
      </c>
      <c r="C16" s="13"/>
      <c r="D16" s="13"/>
      <c r="E16" s="13"/>
      <c r="F16" s="13"/>
      <c r="G16" s="13" t="s">
        <v>28</v>
      </c>
      <c r="H16" s="13" t="s">
        <v>52</v>
      </c>
      <c r="I16" s="15" t="s">
        <v>53</v>
      </c>
      <c r="J16" s="13" t="s">
        <v>50</v>
      </c>
      <c r="K16" s="15" t="s">
        <v>295</v>
      </c>
      <c r="L16" s="15" t="s">
        <v>296</v>
      </c>
      <c r="M16" s="16" t="n">
        <v>0.3125</v>
      </c>
      <c r="N16" s="16" t="n">
        <v>0.5</v>
      </c>
      <c r="O16" s="17" t="n">
        <f aca="false">(N16-M16)*24</f>
        <v>4.5</v>
      </c>
      <c r="P16" s="13" t="n">
        <v>4</v>
      </c>
      <c r="Q16" s="17" t="n">
        <f aca="false">P16*O16</f>
        <v>18</v>
      </c>
    </row>
    <row r="17" customFormat="false" ht="15" hidden="false" customHeight="false" outlineLevel="0" collapsed="false">
      <c r="A17" s="13" t="str">
        <f aca="false">"W"&amp;WEEKNUM(B17,21)</f>
        <v>W43</v>
      </c>
      <c r="B17" s="14" t="n">
        <v>46320</v>
      </c>
      <c r="C17" s="13"/>
      <c r="D17" s="13"/>
      <c r="E17" s="13"/>
      <c r="F17" s="13"/>
      <c r="G17" s="13" t="s">
        <v>28</v>
      </c>
      <c r="H17" s="13" t="s">
        <v>52</v>
      </c>
      <c r="I17" s="15" t="s">
        <v>53</v>
      </c>
      <c r="J17" s="13" t="s">
        <v>50</v>
      </c>
      <c r="K17" s="15" t="s">
        <v>297</v>
      </c>
      <c r="L17" s="15" t="s">
        <v>298</v>
      </c>
      <c r="M17" s="16" t="n">
        <v>0.3125</v>
      </c>
      <c r="N17" s="16" t="n">
        <v>0.5</v>
      </c>
      <c r="O17" s="17" t="n">
        <f aca="false">(N17-M17)*24</f>
        <v>4.5</v>
      </c>
      <c r="P17" s="13" t="n">
        <v>2</v>
      </c>
      <c r="Q17" s="17" t="n">
        <f aca="false">P17*O17</f>
        <v>9</v>
      </c>
    </row>
    <row r="18" customFormat="false" ht="15" hidden="false" customHeight="false" outlineLevel="0" collapsed="false">
      <c r="P18" s="18" t="s">
        <v>75</v>
      </c>
      <c r="Q18" s="19" t="n">
        <f aca="false">SUM(Q3:Q17)</f>
        <v>158</v>
      </c>
    </row>
    <row r="20" customFormat="false" ht="15" hidden="false" customHeight="false" outlineLevel="0" collapsed="false">
      <c r="A20" s="20" t="s">
        <v>76</v>
      </c>
    </row>
  </sheetData>
  <autoFilter ref="A2:Q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299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W44</v>
      </c>
      <c r="B23" s="9" t="n">
        <v>46321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13" t="str">
        <f aca="false">"W"&amp;WEEKNUM(B24,21)</f>
        <v>W44</v>
      </c>
      <c r="B24" s="14" t="n">
        <v>46321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168</v>
      </c>
      <c r="L24" s="15" t="s">
        <v>284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300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285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285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187</v>
      </c>
      <c r="L28" s="15" t="s">
        <v>301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198</v>
      </c>
      <c r="L29" s="15" t="s">
        <v>302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210</v>
      </c>
      <c r="L30" s="15" t="s">
        <v>303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46321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304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233</v>
      </c>
      <c r="L32" s="15" t="s">
        <v>289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46321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305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245</v>
      </c>
      <c r="L34" s="15" t="s">
        <v>290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291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46321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291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46321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306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46321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292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W44</v>
      </c>
      <c r="B39" s="14" t="n">
        <v>46321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292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W44</v>
      </c>
      <c r="B40" s="14" t="n">
        <v>46321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307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W44</v>
      </c>
      <c r="B41" s="14" t="n">
        <v>46321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281</v>
      </c>
      <c r="L41" s="15" t="s">
        <v>308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P42" s="18" t="s">
        <v>75</v>
      </c>
      <c r="Q42" s="19" t="n">
        <f aca="false">SUM(Q3:Q41)</f>
        <v>445.5</v>
      </c>
    </row>
    <row r="44" customFormat="false" ht="15" hidden="false" customHeight="false" outlineLevel="0" collapsed="false">
      <c r="A44" s="20" t="s">
        <v>76</v>
      </c>
    </row>
  </sheetData>
  <autoFilter ref="A2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309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W44</v>
      </c>
      <c r="B23" s="9" t="n">
        <v>46322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8" t="str">
        <f aca="false">"W"&amp;WEEKNUM(B24,21)</f>
        <v>W44</v>
      </c>
      <c r="B24" s="9" t="n">
        <v>46322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300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300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187</v>
      </c>
      <c r="L27" s="15" t="s">
        <v>310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198</v>
      </c>
      <c r="L28" s="15" t="s">
        <v>311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210</v>
      </c>
      <c r="L29" s="15" t="s">
        <v>312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46322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233</v>
      </c>
      <c r="L30" s="15" t="s">
        <v>313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304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46322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245</v>
      </c>
      <c r="L32" s="15" t="s">
        <v>314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305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257</v>
      </c>
      <c r="L34" s="15" t="s">
        <v>306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46322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306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46322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315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46322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269</v>
      </c>
      <c r="L37" s="15" t="s">
        <v>307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46322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307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W44</v>
      </c>
      <c r="B39" s="14" t="n">
        <v>46322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316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W44</v>
      </c>
      <c r="B40" s="14" t="n">
        <v>46322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281</v>
      </c>
      <c r="L40" s="15" t="s">
        <v>317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W44</v>
      </c>
      <c r="B41" s="14" t="n">
        <v>46322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293</v>
      </c>
      <c r="L41" s="15" t="s">
        <v>294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2</v>
      </c>
      <c r="Q41" s="17" t="n">
        <f aca="false">P41*O41</f>
        <v>9</v>
      </c>
    </row>
    <row r="42" customFormat="false" ht="15" hidden="false" customHeight="false" outlineLevel="0" collapsed="false">
      <c r="P42" s="18" t="s">
        <v>75</v>
      </c>
      <c r="Q42" s="19" t="n">
        <f aca="false">SUM(Q3:Q41)</f>
        <v>465</v>
      </c>
    </row>
    <row r="44" customFormat="false" ht="15" hidden="false" customHeight="false" outlineLevel="0" collapsed="false">
      <c r="A44" s="20" t="s">
        <v>76</v>
      </c>
    </row>
  </sheetData>
  <autoFilter ref="A2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318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W44</v>
      </c>
      <c r="B23" s="9" t="n">
        <v>46323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W44</v>
      </c>
      <c r="B24" s="9" t="n">
        <v>46323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8" t="str">
        <f aca="false">"W"&amp;WEEKNUM(B25,21)</f>
        <v>W44</v>
      </c>
      <c r="B25" s="9" t="n">
        <v>46323</v>
      </c>
      <c r="C25" s="8"/>
      <c r="D25" s="8"/>
      <c r="E25" s="8"/>
      <c r="F25" s="8"/>
      <c r="G25" s="8" t="s">
        <v>72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198</v>
      </c>
      <c r="L26" s="15" t="s">
        <v>319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210</v>
      </c>
      <c r="L27" s="15" t="s">
        <v>320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233</v>
      </c>
      <c r="L28" s="15" t="s">
        <v>321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233</v>
      </c>
      <c r="L29" s="15" t="s">
        <v>313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46323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245</v>
      </c>
      <c r="L30" s="15" t="s">
        <v>322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245</v>
      </c>
      <c r="L31" s="15" t="s">
        <v>314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46323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257</v>
      </c>
      <c r="L32" s="15" t="s">
        <v>315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46323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257</v>
      </c>
      <c r="L33" s="15" t="s">
        <v>315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46323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257</v>
      </c>
      <c r="L34" s="15" t="s">
        <v>323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46323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269</v>
      </c>
      <c r="L35" s="15" t="s">
        <v>316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46323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269</v>
      </c>
      <c r="L36" s="15" t="s">
        <v>316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46323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269</v>
      </c>
      <c r="L37" s="15" t="s">
        <v>324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281</v>
      </c>
      <c r="L38" s="15" t="s">
        <v>325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W44</v>
      </c>
      <c r="B39" s="14" t="n">
        <v>46323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293</v>
      </c>
      <c r="L39" s="15" t="s">
        <v>326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W44</v>
      </c>
      <c r="B40" s="14" t="n">
        <v>46323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295</v>
      </c>
      <c r="L40" s="15" t="s">
        <v>296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W44</v>
      </c>
      <c r="B41" s="14" t="n">
        <v>46323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295</v>
      </c>
      <c r="L41" s="15" t="s">
        <v>296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P42" s="18" t="s">
        <v>75</v>
      </c>
      <c r="Q42" s="19" t="n">
        <f aca="false">SUM(Q3:Q41)</f>
        <v>468.5</v>
      </c>
    </row>
    <row r="44" customFormat="false" ht="15" hidden="false" customHeight="false" outlineLevel="0" collapsed="false">
      <c r="A44" s="20" t="s">
        <v>76</v>
      </c>
    </row>
  </sheetData>
  <autoFilter ref="A2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327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W44</v>
      </c>
      <c r="B23" s="14" t="n">
        <v>46324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210</v>
      </c>
      <c r="L23" s="15" t="s">
        <v>328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1</v>
      </c>
      <c r="Q23" s="17" t="n">
        <f aca="false">P23*O23</f>
        <v>4.5</v>
      </c>
    </row>
    <row r="24" customFormat="false" ht="15" hidden="false" customHeight="false" outlineLevel="0" collapsed="false">
      <c r="A24" s="13" t="str">
        <f aca="false">"W"&amp;WEEKNUM(B24,21)</f>
        <v>W44</v>
      </c>
      <c r="B24" s="14" t="n">
        <v>46324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233</v>
      </c>
      <c r="L24" s="15" t="s">
        <v>329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2</v>
      </c>
      <c r="Q24" s="17" t="n">
        <f aca="false">P24*O24</f>
        <v>9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46324</v>
      </c>
      <c r="C25" s="13"/>
      <c r="D25" s="13"/>
      <c r="E25" s="13"/>
      <c r="F25" s="13"/>
      <c r="G25" s="13" t="s">
        <v>25</v>
      </c>
      <c r="H25" s="13" t="s">
        <v>52</v>
      </c>
      <c r="I25" s="15" t="s">
        <v>53</v>
      </c>
      <c r="J25" s="13" t="s">
        <v>50</v>
      </c>
      <c r="K25" s="15" t="s">
        <v>233</v>
      </c>
      <c r="L25" s="15" t="s">
        <v>321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245</v>
      </c>
      <c r="L26" s="15" t="s">
        <v>330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46324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245</v>
      </c>
      <c r="L27" s="15" t="s">
        <v>322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46324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257</v>
      </c>
      <c r="L28" s="15" t="s">
        <v>323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257</v>
      </c>
      <c r="L29" s="15" t="s">
        <v>323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46324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257</v>
      </c>
      <c r="L30" s="15" t="s">
        <v>331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46324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269</v>
      </c>
      <c r="L31" s="15" t="s">
        <v>324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269</v>
      </c>
      <c r="L32" s="15" t="s">
        <v>324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269</v>
      </c>
      <c r="L33" s="15" t="s">
        <v>332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281</v>
      </c>
      <c r="L34" s="15" t="s">
        <v>333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293</v>
      </c>
      <c r="L35" s="15" t="s">
        <v>334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46324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295</v>
      </c>
      <c r="L36" s="15" t="s">
        <v>335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295</v>
      </c>
      <c r="L37" s="15" t="s">
        <v>335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46324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297</v>
      </c>
      <c r="L38" s="15" t="s">
        <v>298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W44</v>
      </c>
      <c r="B39" s="14" t="n">
        <v>46324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297</v>
      </c>
      <c r="L39" s="15" t="s">
        <v>298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W44</v>
      </c>
      <c r="B40" s="14" t="n">
        <v>46324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297</v>
      </c>
      <c r="L40" s="15" t="s">
        <v>298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429.5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336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W44</v>
      </c>
      <c r="B23" s="14" t="n">
        <v>46325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233</v>
      </c>
      <c r="L23" s="15" t="s">
        <v>337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2</v>
      </c>
      <c r="Q23" s="17" t="n">
        <f aca="false">P23*O23</f>
        <v>9</v>
      </c>
    </row>
    <row r="24" customFormat="false" ht="15" hidden="false" customHeight="false" outlineLevel="0" collapsed="false">
      <c r="A24" s="13" t="str">
        <f aca="false">"W"&amp;WEEKNUM(B24,21)</f>
        <v>W44</v>
      </c>
      <c r="B24" s="14" t="n">
        <v>46325</v>
      </c>
      <c r="C24" s="13"/>
      <c r="D24" s="13"/>
      <c r="E24" s="13"/>
      <c r="F24" s="13"/>
      <c r="G24" s="13" t="s">
        <v>25</v>
      </c>
      <c r="H24" s="13" t="s">
        <v>52</v>
      </c>
      <c r="I24" s="15" t="s">
        <v>53</v>
      </c>
      <c r="J24" s="13" t="s">
        <v>50</v>
      </c>
      <c r="K24" s="15" t="s">
        <v>233</v>
      </c>
      <c r="L24" s="15" t="s">
        <v>329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245</v>
      </c>
      <c r="L25" s="15" t="s">
        <v>338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46325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245</v>
      </c>
      <c r="L26" s="15" t="s">
        <v>330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2</v>
      </c>
      <c r="Q26" s="17" t="n">
        <f aca="false">P26*O26</f>
        <v>9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46325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257</v>
      </c>
      <c r="L27" s="15" t="s">
        <v>331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257</v>
      </c>
      <c r="L28" s="15" t="s">
        <v>331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46325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257</v>
      </c>
      <c r="L29" s="15" t="s">
        <v>339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46325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269</v>
      </c>
      <c r="L30" s="15" t="s">
        <v>332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46325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269</v>
      </c>
      <c r="L31" s="15" t="s">
        <v>332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46325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269</v>
      </c>
      <c r="L32" s="15" t="s">
        <v>340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46325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281</v>
      </c>
      <c r="L33" s="15" t="s">
        <v>341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46325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293</v>
      </c>
      <c r="L34" s="15" t="s">
        <v>342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46325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295</v>
      </c>
      <c r="L35" s="15" t="s">
        <v>343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295</v>
      </c>
      <c r="L36" s="15" t="s">
        <v>343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297</v>
      </c>
      <c r="L37" s="15" t="s">
        <v>344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46325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297</v>
      </c>
      <c r="L38" s="15" t="s">
        <v>344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W44</v>
      </c>
      <c r="B39" s="14" t="n">
        <v>46325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297</v>
      </c>
      <c r="L39" s="15" t="s">
        <v>344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425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21" t="s">
        <v>345</v>
      </c>
    </row>
    <row r="3" customFormat="false" ht="15" hidden="false" customHeight="false" outlineLevel="0" collapsed="false">
      <c r="A3" s="18" t="s">
        <v>346</v>
      </c>
    </row>
    <row r="4" customFormat="false" ht="25.35" hidden="false" customHeight="false" outlineLevel="0" collapsed="false">
      <c r="A4" s="2" t="s">
        <v>8</v>
      </c>
      <c r="B4" s="2" t="s">
        <v>347</v>
      </c>
      <c r="C4" s="2" t="s">
        <v>18</v>
      </c>
      <c r="D4" s="2" t="s">
        <v>23</v>
      </c>
      <c r="E4" s="2" t="s">
        <v>25</v>
      </c>
      <c r="F4" s="2" t="s">
        <v>28</v>
      </c>
      <c r="G4" s="2" t="s">
        <v>68</v>
      </c>
      <c r="H4" s="2" t="s">
        <v>72</v>
      </c>
      <c r="I4" s="2" t="s">
        <v>348</v>
      </c>
      <c r="J4" s="2" t="s">
        <v>75</v>
      </c>
    </row>
    <row r="5" customFormat="false" ht="15" hidden="false" customHeight="false" outlineLevel="0" collapsed="false">
      <c r="A5" s="22" t="s">
        <v>19</v>
      </c>
      <c r="B5" s="22" t="s">
        <v>20</v>
      </c>
      <c r="C5" s="23" t="n">
        <f aca="false">SUMIFS('Loss time 05-10'!$Q$3:$Q$39,'Loss time 05-10'!$H$3:$H$39,$A5,'Loss time 05-10'!$G$3:$G$39,C$4)</f>
        <v>3.5</v>
      </c>
      <c r="D5" s="23" t="n">
        <f aca="false">SUMIFS('Loss time 05-10'!$Q$3:$Q$39,'Loss time 05-10'!$H$3:$H$39,$A5,'Loss time 05-10'!$G$3:$G$39,D$4)</f>
        <v>9</v>
      </c>
      <c r="E5" s="23" t="n">
        <f aca="false">SUMIFS('Loss time 05-10'!$Q$3:$Q$39,'Loss time 05-10'!$H$3:$H$39,$A5,'Loss time 05-10'!$G$3:$G$39,E$4)</f>
        <v>9.5</v>
      </c>
      <c r="F5" s="23" t="n">
        <f aca="false">SUMIFS('Loss time 05-10'!$Q$3:$Q$39,'Loss time 05-10'!$H$3:$H$39,$A5,'Loss time 05-10'!$G$3:$G$39,F$4)</f>
        <v>25</v>
      </c>
      <c r="G5" s="23" t="n">
        <f aca="false">SUMIFS('Loss time 05-10'!$Q$3:$Q$39,'Loss time 05-10'!$H$3:$H$39,$A5,'Loss time 05-10'!$G$3:$G$39,G$4)</f>
        <v>0</v>
      </c>
      <c r="H5" s="23" t="n">
        <f aca="false">SUMIFS('Loss time 05-10'!$Q$3:$Q$39,'Loss time 05-10'!$H$3:$H$39,$A5,'Loss time 05-10'!$G$3:$G$39,H$4)</f>
        <v>0</v>
      </c>
      <c r="I5" s="23" t="n">
        <f aca="false">SUMIFS('Loss time 05-10'!$Q$3:$Q$39,'Loss time 05-10'!$H$3:$H$39,$A5,'Loss time 05-10'!$G$3:$G$39,I$4)</f>
        <v>0</v>
      </c>
      <c r="J5" s="24" t="n">
        <f aca="false">SUM(C5:I5)</f>
        <v>47</v>
      </c>
    </row>
    <row r="6" customFormat="false" ht="15" hidden="false" customHeight="false" outlineLevel="0" collapsed="false">
      <c r="A6" s="22" t="s">
        <v>30</v>
      </c>
      <c r="B6" s="22" t="s">
        <v>31</v>
      </c>
      <c r="C6" s="23" t="n">
        <f aca="false">SUMIFS('Loss time 05-10'!$Q$3:$Q$39,'Loss time 05-10'!$H$3:$H$39,$A6,'Loss time 05-10'!$G$3:$G$39,C$4)</f>
        <v>12.5</v>
      </c>
      <c r="D6" s="23" t="n">
        <f aca="false">SUMIFS('Loss time 05-10'!$Q$3:$Q$39,'Loss time 05-10'!$H$3:$H$39,$A6,'Loss time 05-10'!$G$3:$G$39,D$4)</f>
        <v>112.5</v>
      </c>
      <c r="E6" s="23" t="n">
        <f aca="false">SUMIFS('Loss time 05-10'!$Q$3:$Q$39,'Loss time 05-10'!$H$3:$H$39,$A6,'Loss time 05-10'!$G$3:$G$39,E$4)</f>
        <v>75</v>
      </c>
      <c r="F6" s="23" t="n">
        <f aca="false">SUMIFS('Loss time 05-10'!$Q$3:$Q$39,'Loss time 05-10'!$H$3:$H$39,$A6,'Loss time 05-10'!$G$3:$G$39,F$4)</f>
        <v>25</v>
      </c>
      <c r="G6" s="23" t="n">
        <f aca="false">SUMIFS('Loss time 05-10'!$Q$3:$Q$39,'Loss time 05-10'!$H$3:$H$39,$A6,'Loss time 05-10'!$G$3:$G$39,G$4)</f>
        <v>0</v>
      </c>
      <c r="H6" s="23" t="n">
        <f aca="false">SUMIFS('Loss time 05-10'!$Q$3:$Q$39,'Loss time 05-10'!$H$3:$H$39,$A6,'Loss time 05-10'!$G$3:$G$39,H$4)</f>
        <v>0</v>
      </c>
      <c r="I6" s="23" t="n">
        <f aca="false">SUMIFS('Loss time 05-10'!$Q$3:$Q$39,'Loss time 05-10'!$H$3:$H$39,$A6,'Loss time 05-10'!$G$3:$G$39,I$4)</f>
        <v>0</v>
      </c>
      <c r="J6" s="24" t="n">
        <f aca="false">SUM(C6:I6)</f>
        <v>225</v>
      </c>
    </row>
    <row r="7" customFormat="false" ht="15" hidden="false" customHeight="false" outlineLevel="0" collapsed="false">
      <c r="A7" s="22" t="s">
        <v>48</v>
      </c>
      <c r="B7" s="22" t="s">
        <v>49</v>
      </c>
      <c r="C7" s="23" t="n">
        <f aca="false">SUMIFS('Loss time 05-10'!$Q$3:$Q$39,'Loss time 05-10'!$H$3:$H$39,$A7,'Loss time 05-10'!$G$3:$G$39,C$4)</f>
        <v>0</v>
      </c>
      <c r="D7" s="23" t="n">
        <f aca="false">SUMIFS('Loss time 05-10'!$Q$3:$Q$39,'Loss time 05-10'!$H$3:$H$39,$A7,'Loss time 05-10'!$G$3:$G$39,D$4)</f>
        <v>0</v>
      </c>
      <c r="E7" s="23" t="n">
        <f aca="false">SUMIFS('Loss time 05-10'!$Q$3:$Q$39,'Loss time 05-10'!$H$3:$H$39,$A7,'Loss time 05-10'!$G$3:$G$39,E$4)</f>
        <v>0</v>
      </c>
      <c r="F7" s="23" t="n">
        <f aca="false">SUMIFS('Loss time 05-10'!$Q$3:$Q$39,'Loss time 05-10'!$H$3:$H$39,$A7,'Loss time 05-10'!$G$3:$G$39,F$4)</f>
        <v>48</v>
      </c>
      <c r="G7" s="23" t="n">
        <f aca="false">SUMIFS('Loss time 05-10'!$Q$3:$Q$39,'Loss time 05-10'!$H$3:$H$39,$A7,'Loss time 05-10'!$G$3:$G$39,G$4)</f>
        <v>0</v>
      </c>
      <c r="H7" s="23" t="n">
        <f aca="false">SUMIFS('Loss time 05-10'!$Q$3:$Q$39,'Loss time 05-10'!$H$3:$H$39,$A7,'Loss time 05-10'!$G$3:$G$39,H$4)</f>
        <v>0</v>
      </c>
      <c r="I7" s="23" t="n">
        <f aca="false">SUMIFS('Loss time 05-10'!$Q$3:$Q$39,'Loss time 05-10'!$H$3:$H$39,$A7,'Loss time 05-10'!$G$3:$G$39,I$4)</f>
        <v>0</v>
      </c>
      <c r="J7" s="24" t="n">
        <f aca="false">SUM(C7:I7)</f>
        <v>48</v>
      </c>
    </row>
    <row r="8" customFormat="false" ht="15" hidden="false" customHeight="false" outlineLevel="0" collapsed="false">
      <c r="A8" s="22" t="s">
        <v>52</v>
      </c>
      <c r="B8" s="22" t="s">
        <v>53</v>
      </c>
      <c r="C8" s="23" t="n">
        <f aca="false">SUMIFS('Loss time 05-10'!$Q$3:$Q$39,'Loss time 05-10'!$H$3:$H$39,$A8,'Loss time 05-10'!$G$3:$G$39,C$4)</f>
        <v>0</v>
      </c>
      <c r="D8" s="23" t="n">
        <f aca="false">SUMIFS('Loss time 05-10'!$Q$3:$Q$39,'Loss time 05-10'!$H$3:$H$39,$A8,'Loss time 05-10'!$G$3:$G$39,D$4)</f>
        <v>0</v>
      </c>
      <c r="E8" s="23" t="n">
        <f aca="false">SUMIFS('Loss time 05-10'!$Q$3:$Q$39,'Loss time 05-10'!$H$3:$H$39,$A8,'Loss time 05-10'!$G$3:$G$39,E$4)</f>
        <v>85.5</v>
      </c>
      <c r="F8" s="23" t="n">
        <f aca="false">SUMIFS('Loss time 05-10'!$Q$3:$Q$39,'Loss time 05-10'!$H$3:$H$39,$A8,'Loss time 05-10'!$G$3:$G$39,F$4)</f>
        <v>85.5</v>
      </c>
      <c r="G8" s="23" t="n">
        <f aca="false">SUMIFS('Loss time 05-10'!$Q$3:$Q$39,'Loss time 05-10'!$H$3:$H$39,$A8,'Loss time 05-10'!$G$3:$G$39,G$4)</f>
        <v>22.5</v>
      </c>
      <c r="H8" s="23" t="n">
        <f aca="false">SUMIFS('Loss time 05-10'!$Q$3:$Q$39,'Loss time 05-10'!$H$3:$H$39,$A8,'Loss time 05-10'!$G$3:$G$39,H$4)</f>
        <v>18</v>
      </c>
      <c r="I8" s="23" t="n">
        <f aca="false">SUMIFS('Loss time 05-10'!$Q$3:$Q$39,'Loss time 05-10'!$H$3:$H$39,$A8,'Loss time 05-10'!$G$3:$G$39,I$4)</f>
        <v>0</v>
      </c>
      <c r="J8" s="24" t="n">
        <f aca="false">SUM(C8:I8)</f>
        <v>211.5</v>
      </c>
    </row>
    <row r="9" customFormat="false" ht="15" hidden="false" customHeight="false" outlineLevel="0" collapsed="false">
      <c r="A9" s="25" t="s">
        <v>75</v>
      </c>
      <c r="B9" s="25"/>
      <c r="C9" s="24" t="n">
        <f aca="false">SUM(C5:C8)</f>
        <v>16</v>
      </c>
      <c r="D9" s="24" t="n">
        <f aca="false">SUM(D5:D8)</f>
        <v>121.5</v>
      </c>
      <c r="E9" s="24" t="n">
        <f aca="false">SUM(E5:E8)</f>
        <v>170</v>
      </c>
      <c r="F9" s="24" t="n">
        <f aca="false">SUM(F5:F8)</f>
        <v>183.5</v>
      </c>
      <c r="G9" s="24" t="n">
        <f aca="false">SUM(G5:G8)</f>
        <v>22.5</v>
      </c>
      <c r="H9" s="24" t="n">
        <f aca="false">SUM(H5:H8)</f>
        <v>18</v>
      </c>
      <c r="I9" s="24" t="n">
        <f aca="false">SUM(I5:I8)</f>
        <v>0</v>
      </c>
      <c r="J9" s="24" t="n">
        <f aca="false">SUM(J5:J8)</f>
        <v>531.5</v>
      </c>
    </row>
    <row r="12" customFormat="false" ht="15" hidden="false" customHeight="false" outlineLevel="0" collapsed="false">
      <c r="A12" s="18" t="s">
        <v>349</v>
      </c>
    </row>
    <row r="13" customFormat="false" ht="25.35" hidden="false" customHeight="false" outlineLevel="0" collapsed="false">
      <c r="A13" s="2" t="s">
        <v>8</v>
      </c>
      <c r="B13" s="2" t="s">
        <v>347</v>
      </c>
      <c r="C13" s="2" t="s">
        <v>18</v>
      </c>
      <c r="D13" s="2" t="s">
        <v>23</v>
      </c>
      <c r="E13" s="2" t="s">
        <v>25</v>
      </c>
      <c r="F13" s="2" t="s">
        <v>28</v>
      </c>
      <c r="G13" s="2" t="s">
        <v>68</v>
      </c>
      <c r="H13" s="2" t="s">
        <v>72</v>
      </c>
      <c r="I13" s="2" t="s">
        <v>348</v>
      </c>
      <c r="J13" s="2" t="s">
        <v>75</v>
      </c>
    </row>
    <row r="14" customFormat="false" ht="15" hidden="false" customHeight="false" outlineLevel="0" collapsed="false">
      <c r="A14" s="22" t="s">
        <v>19</v>
      </c>
      <c r="B14" s="22" t="s">
        <v>20</v>
      </c>
      <c r="C14" s="23" t="n">
        <f aca="false">SUMIFS('Loss time 06-10'!$Q$3:$Q$42,'Loss time 06-10'!$H$3:$H$42,$A14,'Loss time 06-10'!$G$3:$G$42,C$13)</f>
        <v>3.5</v>
      </c>
      <c r="D14" s="23" t="n">
        <f aca="false">SUMIFS('Loss time 06-10'!$Q$3:$Q$42,'Loss time 06-10'!$H$3:$H$42,$A14,'Loss time 06-10'!$G$3:$G$42,D$13)</f>
        <v>9</v>
      </c>
      <c r="E14" s="23" t="n">
        <f aca="false">SUMIFS('Loss time 06-10'!$Q$3:$Q$42,'Loss time 06-10'!$H$3:$H$42,$A14,'Loss time 06-10'!$G$3:$G$42,E$13)</f>
        <v>9.5</v>
      </c>
      <c r="F14" s="23" t="n">
        <f aca="false">SUMIFS('Loss time 06-10'!$Q$3:$Q$42,'Loss time 06-10'!$H$3:$H$42,$A14,'Loss time 06-10'!$G$3:$G$42,F$13)</f>
        <v>25</v>
      </c>
      <c r="G14" s="23" t="n">
        <f aca="false">SUMIFS('Loss time 06-10'!$Q$3:$Q$42,'Loss time 06-10'!$H$3:$H$42,$A14,'Loss time 06-10'!$G$3:$G$42,G$13)</f>
        <v>0</v>
      </c>
      <c r="H14" s="23" t="n">
        <f aca="false">SUMIFS('Loss time 06-10'!$Q$3:$Q$42,'Loss time 06-10'!$H$3:$H$42,$A14,'Loss time 06-10'!$G$3:$G$42,H$13)</f>
        <v>0</v>
      </c>
      <c r="I14" s="23" t="n">
        <f aca="false">SUMIFS('Loss time 06-10'!$Q$3:$Q$42,'Loss time 06-10'!$H$3:$H$42,$A14,'Loss time 06-10'!$G$3:$G$42,I$13)</f>
        <v>0</v>
      </c>
      <c r="J14" s="24" t="n">
        <f aca="false">SUM(C14:I14)</f>
        <v>47</v>
      </c>
    </row>
    <row r="15" customFormat="false" ht="15" hidden="false" customHeight="false" outlineLevel="0" collapsed="false">
      <c r="A15" s="22" t="s">
        <v>30</v>
      </c>
      <c r="B15" s="22" t="s">
        <v>31</v>
      </c>
      <c r="C15" s="23" t="n">
        <f aca="false">SUMIFS('Loss time 06-10'!$Q$3:$Q$42,'Loss time 06-10'!$H$3:$H$42,$A15,'Loss time 06-10'!$G$3:$G$42,C$13)</f>
        <v>12.5</v>
      </c>
      <c r="D15" s="23" t="n">
        <f aca="false">SUMIFS('Loss time 06-10'!$Q$3:$Q$42,'Loss time 06-10'!$H$3:$H$42,$A15,'Loss time 06-10'!$G$3:$G$42,D$13)</f>
        <v>112.5</v>
      </c>
      <c r="E15" s="23" t="n">
        <f aca="false">SUMIFS('Loss time 06-10'!$Q$3:$Q$42,'Loss time 06-10'!$H$3:$H$42,$A15,'Loss time 06-10'!$G$3:$G$42,E$13)</f>
        <v>75</v>
      </c>
      <c r="F15" s="23" t="n">
        <f aca="false">SUMIFS('Loss time 06-10'!$Q$3:$Q$42,'Loss time 06-10'!$H$3:$H$42,$A15,'Loss time 06-10'!$G$3:$G$42,F$13)</f>
        <v>25</v>
      </c>
      <c r="G15" s="23" t="n">
        <f aca="false">SUMIFS('Loss time 06-10'!$Q$3:$Q$42,'Loss time 06-10'!$H$3:$H$42,$A15,'Loss time 06-10'!$G$3:$G$42,G$13)</f>
        <v>0</v>
      </c>
      <c r="H15" s="23" t="n">
        <f aca="false">SUMIFS('Loss time 06-10'!$Q$3:$Q$42,'Loss time 06-10'!$H$3:$H$42,$A15,'Loss time 06-10'!$G$3:$G$42,H$13)</f>
        <v>0</v>
      </c>
      <c r="I15" s="23" t="n">
        <f aca="false">SUMIFS('Loss time 06-10'!$Q$3:$Q$42,'Loss time 06-10'!$H$3:$H$42,$A15,'Loss time 06-10'!$G$3:$G$42,I$13)</f>
        <v>0</v>
      </c>
      <c r="J15" s="24" t="n">
        <f aca="false">SUM(C15:I15)</f>
        <v>225</v>
      </c>
    </row>
    <row r="16" customFormat="false" ht="15" hidden="false" customHeight="false" outlineLevel="0" collapsed="false">
      <c r="A16" s="22" t="s">
        <v>48</v>
      </c>
      <c r="B16" s="22" t="s">
        <v>49</v>
      </c>
      <c r="C16" s="23" t="n">
        <f aca="false">SUMIFS('Loss time 06-10'!$Q$3:$Q$42,'Loss time 06-10'!$H$3:$H$42,$A16,'Loss time 06-10'!$G$3:$G$42,C$13)</f>
        <v>0</v>
      </c>
      <c r="D16" s="23" t="n">
        <f aca="false">SUMIFS('Loss time 06-10'!$Q$3:$Q$42,'Loss time 06-10'!$H$3:$H$42,$A16,'Loss time 06-10'!$G$3:$G$42,D$13)</f>
        <v>0</v>
      </c>
      <c r="E16" s="23" t="n">
        <f aca="false">SUMIFS('Loss time 06-10'!$Q$3:$Q$42,'Loss time 06-10'!$H$3:$H$42,$A16,'Loss time 06-10'!$G$3:$G$42,E$13)</f>
        <v>24</v>
      </c>
      <c r="F16" s="23" t="n">
        <f aca="false">SUMIFS('Loss time 06-10'!$Q$3:$Q$42,'Loss time 06-10'!$H$3:$H$42,$A16,'Loss time 06-10'!$G$3:$G$42,F$13)</f>
        <v>56</v>
      </c>
      <c r="G16" s="23" t="n">
        <f aca="false">SUMIFS('Loss time 06-10'!$Q$3:$Q$42,'Loss time 06-10'!$H$3:$H$42,$A16,'Loss time 06-10'!$G$3:$G$42,G$13)</f>
        <v>0</v>
      </c>
      <c r="H16" s="23" t="n">
        <f aca="false">SUMIFS('Loss time 06-10'!$Q$3:$Q$42,'Loss time 06-10'!$H$3:$H$42,$A16,'Loss time 06-10'!$G$3:$G$42,H$13)</f>
        <v>32</v>
      </c>
      <c r="I16" s="23" t="n">
        <f aca="false">SUMIFS('Loss time 06-10'!$Q$3:$Q$42,'Loss time 06-10'!$H$3:$H$42,$A16,'Loss time 06-10'!$G$3:$G$42,I$13)</f>
        <v>0</v>
      </c>
      <c r="J16" s="24" t="n">
        <f aca="false">SUM(C16:I16)</f>
        <v>112</v>
      </c>
    </row>
    <row r="17" customFormat="false" ht="15" hidden="false" customHeight="false" outlineLevel="0" collapsed="false">
      <c r="A17" s="22" t="s">
        <v>52</v>
      </c>
      <c r="B17" s="22" t="s">
        <v>53</v>
      </c>
      <c r="C17" s="23" t="n">
        <f aca="false">SUMIFS('Loss time 06-10'!$Q$3:$Q$42,'Loss time 06-10'!$H$3:$H$42,$A17,'Loss time 06-10'!$G$3:$G$42,C$13)</f>
        <v>0</v>
      </c>
      <c r="D17" s="23" t="n">
        <f aca="false">SUMIFS('Loss time 06-10'!$Q$3:$Q$42,'Loss time 06-10'!$H$3:$H$42,$A17,'Loss time 06-10'!$G$3:$G$42,D$13)</f>
        <v>0</v>
      </c>
      <c r="E17" s="23" t="n">
        <f aca="false">SUMIFS('Loss time 06-10'!$Q$3:$Q$42,'Loss time 06-10'!$H$3:$H$42,$A17,'Loss time 06-10'!$G$3:$G$42,E$13)</f>
        <v>85.5</v>
      </c>
      <c r="F17" s="23" t="n">
        <f aca="false">SUMIFS('Loss time 06-10'!$Q$3:$Q$42,'Loss time 06-10'!$H$3:$H$42,$A17,'Loss time 06-10'!$G$3:$G$42,F$13)</f>
        <v>112.5</v>
      </c>
      <c r="G17" s="23" t="n">
        <f aca="false">SUMIFS('Loss time 06-10'!$Q$3:$Q$42,'Loss time 06-10'!$H$3:$H$42,$A17,'Loss time 06-10'!$G$3:$G$42,G$13)</f>
        <v>22.5</v>
      </c>
      <c r="H17" s="23" t="n">
        <f aca="false">SUMIFS('Loss time 06-10'!$Q$3:$Q$42,'Loss time 06-10'!$H$3:$H$42,$A17,'Loss time 06-10'!$G$3:$G$42,H$13)</f>
        <v>18</v>
      </c>
      <c r="I17" s="23" t="n">
        <f aca="false">SUMIFS('Loss time 06-10'!$Q$3:$Q$42,'Loss time 06-10'!$H$3:$H$42,$A17,'Loss time 06-10'!$G$3:$G$42,I$13)</f>
        <v>0</v>
      </c>
      <c r="J17" s="24" t="n">
        <f aca="false">SUM(C17:I17)</f>
        <v>238.5</v>
      </c>
    </row>
    <row r="18" customFormat="false" ht="15" hidden="false" customHeight="false" outlineLevel="0" collapsed="false">
      <c r="A18" s="25" t="s">
        <v>75</v>
      </c>
      <c r="B18" s="25"/>
      <c r="C18" s="24" t="n">
        <f aca="false">SUM(C14:C17)</f>
        <v>16</v>
      </c>
      <c r="D18" s="24" t="n">
        <f aca="false">SUM(D14:D17)</f>
        <v>121.5</v>
      </c>
      <c r="E18" s="24" t="n">
        <f aca="false">SUM(E14:E17)</f>
        <v>194</v>
      </c>
      <c r="F18" s="24" t="n">
        <f aca="false">SUM(F14:F17)</f>
        <v>218.5</v>
      </c>
      <c r="G18" s="24" t="n">
        <f aca="false">SUM(G14:G17)</f>
        <v>22.5</v>
      </c>
      <c r="H18" s="24" t="n">
        <f aca="false">SUM(H14:H17)</f>
        <v>50</v>
      </c>
      <c r="I18" s="24" t="n">
        <f aca="false">SUM(I14:I17)</f>
        <v>0</v>
      </c>
      <c r="J18" s="24" t="n">
        <f aca="false">SUM(J14:J17)</f>
        <v>622.5</v>
      </c>
    </row>
    <row r="21" customFormat="false" ht="15" hidden="false" customHeight="false" outlineLevel="0" collapsed="false">
      <c r="A21" s="18" t="s">
        <v>350</v>
      </c>
    </row>
    <row r="22" customFormat="false" ht="25.35" hidden="false" customHeight="false" outlineLevel="0" collapsed="false">
      <c r="A22" s="2" t="s">
        <v>8</v>
      </c>
      <c r="B22" s="2" t="s">
        <v>347</v>
      </c>
      <c r="C22" s="2" t="s">
        <v>18</v>
      </c>
      <c r="D22" s="2" t="s">
        <v>23</v>
      </c>
      <c r="E22" s="2" t="s">
        <v>25</v>
      </c>
      <c r="F22" s="2" t="s">
        <v>28</v>
      </c>
      <c r="G22" s="2" t="s">
        <v>68</v>
      </c>
      <c r="H22" s="2" t="s">
        <v>72</v>
      </c>
      <c r="I22" s="2" t="s">
        <v>348</v>
      </c>
      <c r="J22" s="2" t="s">
        <v>75</v>
      </c>
    </row>
    <row r="23" customFormat="false" ht="15" hidden="false" customHeight="false" outlineLevel="0" collapsed="false">
      <c r="A23" s="22" t="s">
        <v>19</v>
      </c>
      <c r="B23" s="22" t="s">
        <v>20</v>
      </c>
      <c r="C23" s="23" t="n">
        <f aca="false">SUMIFS('Loss time 07-10'!$Q$3:$Q$44,'Loss time 07-10'!$H$3:$H$44,$A23,'Loss time 07-10'!$G$3:$G$44,C$22)</f>
        <v>3.5</v>
      </c>
      <c r="D23" s="23" t="n">
        <f aca="false">SUMIFS('Loss time 07-10'!$Q$3:$Q$44,'Loss time 07-10'!$H$3:$H$44,$A23,'Loss time 07-10'!$G$3:$G$44,D$22)</f>
        <v>9</v>
      </c>
      <c r="E23" s="23" t="n">
        <f aca="false">SUMIFS('Loss time 07-10'!$Q$3:$Q$44,'Loss time 07-10'!$H$3:$H$44,$A23,'Loss time 07-10'!$G$3:$G$44,E$22)</f>
        <v>9.5</v>
      </c>
      <c r="F23" s="23" t="n">
        <f aca="false">SUMIFS('Loss time 07-10'!$Q$3:$Q$44,'Loss time 07-10'!$H$3:$H$44,$A23,'Loss time 07-10'!$G$3:$G$44,F$22)</f>
        <v>25</v>
      </c>
      <c r="G23" s="23" t="n">
        <f aca="false">SUMIFS('Loss time 07-10'!$Q$3:$Q$44,'Loss time 07-10'!$H$3:$H$44,$A23,'Loss time 07-10'!$G$3:$G$44,G$22)</f>
        <v>0</v>
      </c>
      <c r="H23" s="23" t="n">
        <f aca="false">SUMIFS('Loss time 07-10'!$Q$3:$Q$44,'Loss time 07-10'!$H$3:$H$44,$A23,'Loss time 07-10'!$G$3:$G$44,H$22)</f>
        <v>0</v>
      </c>
      <c r="I23" s="23" t="n">
        <f aca="false">SUMIFS('Loss time 07-10'!$Q$3:$Q$44,'Loss time 07-10'!$H$3:$H$44,$A23,'Loss time 07-10'!$G$3:$G$44,I$22)</f>
        <v>0</v>
      </c>
      <c r="J23" s="24" t="n">
        <f aca="false">SUM(C23:I23)</f>
        <v>47</v>
      </c>
    </row>
    <row r="24" customFormat="false" ht="15" hidden="false" customHeight="false" outlineLevel="0" collapsed="false">
      <c r="A24" s="22" t="s">
        <v>30</v>
      </c>
      <c r="B24" s="22" t="s">
        <v>31</v>
      </c>
      <c r="C24" s="23" t="n">
        <f aca="false">SUMIFS('Loss time 07-10'!$Q$3:$Q$44,'Loss time 07-10'!$H$3:$H$44,$A24,'Loss time 07-10'!$G$3:$G$44,C$22)</f>
        <v>12.5</v>
      </c>
      <c r="D24" s="23" t="n">
        <f aca="false">SUMIFS('Loss time 07-10'!$Q$3:$Q$44,'Loss time 07-10'!$H$3:$H$44,$A24,'Loss time 07-10'!$G$3:$G$44,D$22)</f>
        <v>112.5</v>
      </c>
      <c r="E24" s="23" t="n">
        <f aca="false">SUMIFS('Loss time 07-10'!$Q$3:$Q$44,'Loss time 07-10'!$H$3:$H$44,$A24,'Loss time 07-10'!$G$3:$G$44,E$22)</f>
        <v>75</v>
      </c>
      <c r="F24" s="23" t="n">
        <f aca="false">SUMIFS('Loss time 07-10'!$Q$3:$Q$44,'Loss time 07-10'!$H$3:$H$44,$A24,'Loss time 07-10'!$G$3:$G$44,F$22)</f>
        <v>25</v>
      </c>
      <c r="G24" s="23" t="n">
        <f aca="false">SUMIFS('Loss time 07-10'!$Q$3:$Q$44,'Loss time 07-10'!$H$3:$H$44,$A24,'Loss time 07-10'!$G$3:$G$44,G$22)</f>
        <v>0</v>
      </c>
      <c r="H24" s="23" t="n">
        <f aca="false">SUMIFS('Loss time 07-10'!$Q$3:$Q$44,'Loss time 07-10'!$H$3:$H$44,$A24,'Loss time 07-10'!$G$3:$G$44,H$22)</f>
        <v>0</v>
      </c>
      <c r="I24" s="23" t="n">
        <f aca="false">SUMIFS('Loss time 07-10'!$Q$3:$Q$44,'Loss time 07-10'!$H$3:$H$44,$A24,'Loss time 07-10'!$G$3:$G$44,I$22)</f>
        <v>0</v>
      </c>
      <c r="J24" s="24" t="n">
        <f aca="false">SUM(C24:I24)</f>
        <v>225</v>
      </c>
    </row>
    <row r="25" customFormat="false" ht="15" hidden="false" customHeight="false" outlineLevel="0" collapsed="false">
      <c r="A25" s="22" t="s">
        <v>48</v>
      </c>
      <c r="B25" s="22" t="s">
        <v>49</v>
      </c>
      <c r="C25" s="23" t="n">
        <f aca="false">SUMIFS('Loss time 07-10'!$Q$3:$Q$44,'Loss time 07-10'!$H$3:$H$44,$A25,'Loss time 07-10'!$G$3:$G$44,C$22)</f>
        <v>0</v>
      </c>
      <c r="D25" s="23" t="n">
        <f aca="false">SUMIFS('Loss time 07-10'!$Q$3:$Q$44,'Loss time 07-10'!$H$3:$H$44,$A25,'Loss time 07-10'!$G$3:$G$44,D$22)</f>
        <v>0</v>
      </c>
      <c r="E25" s="23" t="n">
        <f aca="false">SUMIFS('Loss time 07-10'!$Q$3:$Q$44,'Loss time 07-10'!$H$3:$H$44,$A25,'Loss time 07-10'!$G$3:$G$44,E$22)</f>
        <v>0</v>
      </c>
      <c r="F25" s="23" t="n">
        <f aca="false">SUMIFS('Loss time 07-10'!$Q$3:$Q$44,'Loss time 07-10'!$H$3:$H$44,$A25,'Loss time 07-10'!$G$3:$G$44,F$22)</f>
        <v>48</v>
      </c>
      <c r="G25" s="23" t="n">
        <f aca="false">SUMIFS('Loss time 07-10'!$Q$3:$Q$44,'Loss time 07-10'!$H$3:$H$44,$A25,'Loss time 07-10'!$G$3:$G$44,G$22)</f>
        <v>0</v>
      </c>
      <c r="H25" s="23" t="n">
        <f aca="false">SUMIFS('Loss time 07-10'!$Q$3:$Q$44,'Loss time 07-10'!$H$3:$H$44,$A25,'Loss time 07-10'!$G$3:$G$44,H$22)</f>
        <v>16</v>
      </c>
      <c r="I25" s="23" t="n">
        <f aca="false">SUMIFS('Loss time 07-10'!$Q$3:$Q$44,'Loss time 07-10'!$H$3:$H$44,$A25,'Loss time 07-10'!$G$3:$G$44,I$22)</f>
        <v>0</v>
      </c>
      <c r="J25" s="24" t="n">
        <f aca="false">SUM(C25:I25)</f>
        <v>64</v>
      </c>
    </row>
    <row r="26" customFormat="false" ht="15" hidden="false" customHeight="false" outlineLevel="0" collapsed="false">
      <c r="A26" s="22" t="s">
        <v>52</v>
      </c>
      <c r="B26" s="22" t="s">
        <v>53</v>
      </c>
      <c r="C26" s="23" t="n">
        <f aca="false">SUMIFS('Loss time 07-10'!$Q$3:$Q$44,'Loss time 07-10'!$H$3:$H$44,$A26,'Loss time 07-10'!$G$3:$G$44,C$22)</f>
        <v>0</v>
      </c>
      <c r="D26" s="23" t="n">
        <f aca="false">SUMIFS('Loss time 07-10'!$Q$3:$Q$44,'Loss time 07-10'!$H$3:$H$44,$A26,'Loss time 07-10'!$G$3:$G$44,D$22)</f>
        <v>0</v>
      </c>
      <c r="E26" s="23" t="n">
        <f aca="false">SUMIFS('Loss time 07-10'!$Q$3:$Q$44,'Loss time 07-10'!$H$3:$H$44,$A26,'Loss time 07-10'!$G$3:$G$44,E$22)</f>
        <v>99</v>
      </c>
      <c r="F26" s="23" t="n">
        <f aca="false">SUMIFS('Loss time 07-10'!$Q$3:$Q$44,'Loss time 07-10'!$H$3:$H$44,$A26,'Loss time 07-10'!$G$3:$G$44,F$22)</f>
        <v>144</v>
      </c>
      <c r="G26" s="23" t="n">
        <f aca="false">SUMIFS('Loss time 07-10'!$Q$3:$Q$44,'Loss time 07-10'!$H$3:$H$44,$A26,'Loss time 07-10'!$G$3:$G$44,G$22)</f>
        <v>22.5</v>
      </c>
      <c r="H26" s="23" t="n">
        <f aca="false">SUMIFS('Loss time 07-10'!$Q$3:$Q$44,'Loss time 07-10'!$H$3:$H$44,$A26,'Loss time 07-10'!$G$3:$G$44,H$22)</f>
        <v>36</v>
      </c>
      <c r="I26" s="23" t="n">
        <f aca="false">SUMIFS('Loss time 07-10'!$Q$3:$Q$44,'Loss time 07-10'!$H$3:$H$44,$A26,'Loss time 07-10'!$G$3:$G$44,I$22)</f>
        <v>0</v>
      </c>
      <c r="J26" s="24" t="n">
        <f aca="false">SUM(C26:I26)</f>
        <v>301.5</v>
      </c>
    </row>
    <row r="27" customFormat="false" ht="15" hidden="false" customHeight="false" outlineLevel="0" collapsed="false">
      <c r="A27" s="25" t="s">
        <v>75</v>
      </c>
      <c r="B27" s="25"/>
      <c r="C27" s="24" t="n">
        <f aca="false">SUM(C23:C26)</f>
        <v>16</v>
      </c>
      <c r="D27" s="24" t="n">
        <f aca="false">SUM(D23:D26)</f>
        <v>121.5</v>
      </c>
      <c r="E27" s="24" t="n">
        <f aca="false">SUM(E23:E26)</f>
        <v>183.5</v>
      </c>
      <c r="F27" s="24" t="n">
        <f aca="false">SUM(F23:F26)</f>
        <v>242</v>
      </c>
      <c r="G27" s="24" t="n">
        <f aca="false">SUM(G23:G26)</f>
        <v>22.5</v>
      </c>
      <c r="H27" s="24" t="n">
        <f aca="false">SUM(H23:H26)</f>
        <v>52</v>
      </c>
      <c r="I27" s="24" t="n">
        <f aca="false">SUM(I23:I26)</f>
        <v>0</v>
      </c>
      <c r="J27" s="24" t="n">
        <f aca="false">SUM(J23:J26)</f>
        <v>637.5</v>
      </c>
    </row>
    <row r="30" customFormat="false" ht="15" hidden="false" customHeight="false" outlineLevel="0" collapsed="false">
      <c r="A30" s="18" t="s">
        <v>351</v>
      </c>
    </row>
    <row r="31" customFormat="false" ht="25.35" hidden="false" customHeight="false" outlineLevel="0" collapsed="false">
      <c r="A31" s="2" t="s">
        <v>8</v>
      </c>
      <c r="B31" s="2" t="s">
        <v>347</v>
      </c>
      <c r="C31" s="2" t="s">
        <v>18</v>
      </c>
      <c r="D31" s="2" t="s">
        <v>23</v>
      </c>
      <c r="E31" s="2" t="s">
        <v>25</v>
      </c>
      <c r="F31" s="2" t="s">
        <v>28</v>
      </c>
      <c r="G31" s="2" t="s">
        <v>68</v>
      </c>
      <c r="H31" s="2" t="s">
        <v>72</v>
      </c>
      <c r="I31" s="2" t="s">
        <v>348</v>
      </c>
      <c r="J31" s="2" t="s">
        <v>75</v>
      </c>
    </row>
    <row r="32" customFormat="false" ht="15" hidden="false" customHeight="false" outlineLevel="0" collapsed="false">
      <c r="A32" s="22" t="s">
        <v>19</v>
      </c>
      <c r="B32" s="22" t="s">
        <v>20</v>
      </c>
      <c r="C32" s="23" t="n">
        <f aca="false">SUMIFS('Loss time 08-10'!$Q$3:$Q$44,'Loss time 08-10'!$H$3:$H$44,$A32,'Loss time 08-10'!$G$3:$G$44,C$31)</f>
        <v>3.5</v>
      </c>
      <c r="D32" s="23" t="n">
        <f aca="false">SUMIFS('Loss time 08-10'!$Q$3:$Q$44,'Loss time 08-10'!$H$3:$H$44,$A32,'Loss time 08-10'!$G$3:$G$44,D$31)</f>
        <v>9</v>
      </c>
      <c r="E32" s="23" t="n">
        <f aca="false">SUMIFS('Loss time 08-10'!$Q$3:$Q$44,'Loss time 08-10'!$H$3:$H$44,$A32,'Loss time 08-10'!$G$3:$G$44,E$31)</f>
        <v>9.5</v>
      </c>
      <c r="F32" s="23" t="n">
        <f aca="false">SUMIFS('Loss time 08-10'!$Q$3:$Q$44,'Loss time 08-10'!$H$3:$H$44,$A32,'Loss time 08-10'!$G$3:$G$44,F$31)</f>
        <v>25</v>
      </c>
      <c r="G32" s="23" t="n">
        <f aca="false">SUMIFS('Loss time 08-10'!$Q$3:$Q$44,'Loss time 08-10'!$H$3:$H$44,$A32,'Loss time 08-10'!$G$3:$G$44,G$31)</f>
        <v>0</v>
      </c>
      <c r="H32" s="23" t="n">
        <f aca="false">SUMIFS('Loss time 08-10'!$Q$3:$Q$44,'Loss time 08-10'!$H$3:$H$44,$A32,'Loss time 08-10'!$G$3:$G$44,H$31)</f>
        <v>0</v>
      </c>
      <c r="I32" s="23" t="n">
        <f aca="false">SUMIFS('Loss time 08-10'!$Q$3:$Q$44,'Loss time 08-10'!$H$3:$H$44,$A32,'Loss time 08-10'!$G$3:$G$44,I$31)</f>
        <v>0</v>
      </c>
      <c r="J32" s="24" t="n">
        <f aca="false">SUM(C32:I32)</f>
        <v>47</v>
      </c>
    </row>
    <row r="33" customFormat="false" ht="15" hidden="false" customHeight="false" outlineLevel="0" collapsed="false">
      <c r="A33" s="22" t="s">
        <v>30</v>
      </c>
      <c r="B33" s="22" t="s">
        <v>31</v>
      </c>
      <c r="C33" s="23" t="n">
        <f aca="false">SUMIFS('Loss time 08-10'!$Q$3:$Q$44,'Loss time 08-10'!$H$3:$H$44,$A33,'Loss time 08-10'!$G$3:$G$44,C$31)</f>
        <v>12.5</v>
      </c>
      <c r="D33" s="23" t="n">
        <f aca="false">SUMIFS('Loss time 08-10'!$Q$3:$Q$44,'Loss time 08-10'!$H$3:$H$44,$A33,'Loss time 08-10'!$G$3:$G$44,D$31)</f>
        <v>112.5</v>
      </c>
      <c r="E33" s="23" t="n">
        <f aca="false">SUMIFS('Loss time 08-10'!$Q$3:$Q$44,'Loss time 08-10'!$H$3:$H$44,$A33,'Loss time 08-10'!$G$3:$G$44,E$31)</f>
        <v>75</v>
      </c>
      <c r="F33" s="23" t="n">
        <f aca="false">SUMIFS('Loss time 08-10'!$Q$3:$Q$44,'Loss time 08-10'!$H$3:$H$44,$A33,'Loss time 08-10'!$G$3:$G$44,F$31)</f>
        <v>25</v>
      </c>
      <c r="G33" s="23" t="n">
        <f aca="false">SUMIFS('Loss time 08-10'!$Q$3:$Q$44,'Loss time 08-10'!$H$3:$H$44,$A33,'Loss time 08-10'!$G$3:$G$44,G$31)</f>
        <v>0</v>
      </c>
      <c r="H33" s="23" t="n">
        <f aca="false">SUMIFS('Loss time 08-10'!$Q$3:$Q$44,'Loss time 08-10'!$H$3:$H$44,$A33,'Loss time 08-10'!$G$3:$G$44,H$31)</f>
        <v>0</v>
      </c>
      <c r="I33" s="23" t="n">
        <f aca="false">SUMIFS('Loss time 08-10'!$Q$3:$Q$44,'Loss time 08-10'!$H$3:$H$44,$A33,'Loss time 08-10'!$G$3:$G$44,I$31)</f>
        <v>0</v>
      </c>
      <c r="J33" s="24" t="n">
        <f aca="false">SUM(C33:I33)</f>
        <v>225</v>
      </c>
    </row>
    <row r="34" customFormat="false" ht="15" hidden="false" customHeight="false" outlineLevel="0" collapsed="false">
      <c r="A34" s="22" t="s">
        <v>48</v>
      </c>
      <c r="B34" s="22" t="s">
        <v>49</v>
      </c>
      <c r="C34" s="23" t="n">
        <f aca="false">SUMIFS('Loss time 08-10'!$Q$3:$Q$44,'Loss time 08-10'!$H$3:$H$44,$A34,'Loss time 08-10'!$G$3:$G$44,C$31)</f>
        <v>0</v>
      </c>
      <c r="D34" s="23" t="n">
        <f aca="false">SUMIFS('Loss time 08-10'!$Q$3:$Q$44,'Loss time 08-10'!$H$3:$H$44,$A34,'Loss time 08-10'!$G$3:$G$44,D$31)</f>
        <v>0</v>
      </c>
      <c r="E34" s="23" t="n">
        <f aca="false">SUMIFS('Loss time 08-10'!$Q$3:$Q$44,'Loss time 08-10'!$H$3:$H$44,$A34,'Loss time 08-10'!$G$3:$G$44,E$31)</f>
        <v>24</v>
      </c>
      <c r="F34" s="23" t="n">
        <f aca="false">SUMIFS('Loss time 08-10'!$Q$3:$Q$44,'Loss time 08-10'!$H$3:$H$44,$A34,'Loss time 08-10'!$G$3:$G$44,F$31)</f>
        <v>0</v>
      </c>
      <c r="G34" s="23" t="n">
        <f aca="false">SUMIFS('Loss time 08-10'!$Q$3:$Q$44,'Loss time 08-10'!$H$3:$H$44,$A34,'Loss time 08-10'!$G$3:$G$44,G$31)</f>
        <v>0</v>
      </c>
      <c r="H34" s="23" t="n">
        <f aca="false">SUMIFS('Loss time 08-10'!$Q$3:$Q$44,'Loss time 08-10'!$H$3:$H$44,$A34,'Loss time 08-10'!$G$3:$G$44,H$31)</f>
        <v>8</v>
      </c>
      <c r="I34" s="23" t="n">
        <f aca="false">SUMIFS('Loss time 08-10'!$Q$3:$Q$44,'Loss time 08-10'!$H$3:$H$44,$A34,'Loss time 08-10'!$G$3:$G$44,I$31)</f>
        <v>0</v>
      </c>
      <c r="J34" s="24" t="n">
        <f aca="false">SUM(C34:I34)</f>
        <v>32</v>
      </c>
    </row>
    <row r="35" customFormat="false" ht="15" hidden="false" customHeight="false" outlineLevel="0" collapsed="false">
      <c r="A35" s="22" t="s">
        <v>52</v>
      </c>
      <c r="B35" s="22" t="s">
        <v>53</v>
      </c>
      <c r="C35" s="23" t="n">
        <f aca="false">SUMIFS('Loss time 08-10'!$Q$3:$Q$44,'Loss time 08-10'!$H$3:$H$44,$A35,'Loss time 08-10'!$G$3:$G$44,C$31)</f>
        <v>0</v>
      </c>
      <c r="D35" s="23" t="n">
        <f aca="false">SUMIFS('Loss time 08-10'!$Q$3:$Q$44,'Loss time 08-10'!$H$3:$H$44,$A35,'Loss time 08-10'!$G$3:$G$44,D$31)</f>
        <v>0</v>
      </c>
      <c r="E35" s="23" t="n">
        <f aca="false">SUMIFS('Loss time 08-10'!$Q$3:$Q$44,'Loss time 08-10'!$H$3:$H$44,$A35,'Loss time 08-10'!$G$3:$G$44,E$31)</f>
        <v>58.5</v>
      </c>
      <c r="F35" s="23" t="n">
        <f aca="false">SUMIFS('Loss time 08-10'!$Q$3:$Q$44,'Loss time 08-10'!$H$3:$H$44,$A35,'Loss time 08-10'!$G$3:$G$44,F$31)</f>
        <v>157.5</v>
      </c>
      <c r="G35" s="23" t="n">
        <f aca="false">SUMIFS('Loss time 08-10'!$Q$3:$Q$44,'Loss time 08-10'!$H$3:$H$44,$A35,'Loss time 08-10'!$G$3:$G$44,G$31)</f>
        <v>22.5</v>
      </c>
      <c r="H35" s="23" t="n">
        <f aca="false">SUMIFS('Loss time 08-10'!$Q$3:$Q$44,'Loss time 08-10'!$H$3:$H$44,$A35,'Loss time 08-10'!$G$3:$G$44,H$31)</f>
        <v>45</v>
      </c>
      <c r="I35" s="23" t="n">
        <f aca="false">SUMIFS('Loss time 08-10'!$Q$3:$Q$44,'Loss time 08-10'!$H$3:$H$44,$A35,'Loss time 08-10'!$G$3:$G$44,I$31)</f>
        <v>0</v>
      </c>
      <c r="J35" s="24" t="n">
        <f aca="false">SUM(C35:I35)</f>
        <v>283.5</v>
      </c>
    </row>
    <row r="36" customFormat="false" ht="15" hidden="false" customHeight="false" outlineLevel="0" collapsed="false">
      <c r="A36" s="25" t="s">
        <v>75</v>
      </c>
      <c r="B36" s="25"/>
      <c r="C36" s="24" t="n">
        <f aca="false">SUM(C32:C35)</f>
        <v>16</v>
      </c>
      <c r="D36" s="24" t="n">
        <f aca="false">SUM(D32:D35)</f>
        <v>121.5</v>
      </c>
      <c r="E36" s="24" t="n">
        <f aca="false">SUM(E32:E35)</f>
        <v>167</v>
      </c>
      <c r="F36" s="24" t="n">
        <f aca="false">SUM(F32:F35)</f>
        <v>207.5</v>
      </c>
      <c r="G36" s="24" t="n">
        <f aca="false">SUM(G32:G35)</f>
        <v>22.5</v>
      </c>
      <c r="H36" s="24" t="n">
        <f aca="false">SUM(H32:H35)</f>
        <v>53</v>
      </c>
      <c r="I36" s="24" t="n">
        <f aca="false">SUM(I32:I35)</f>
        <v>0</v>
      </c>
      <c r="J36" s="24" t="n">
        <f aca="false">SUM(J32:J35)</f>
        <v>587.5</v>
      </c>
    </row>
    <row r="39" customFormat="false" ht="15" hidden="false" customHeight="false" outlineLevel="0" collapsed="false">
      <c r="A39" s="18" t="s">
        <v>352</v>
      </c>
    </row>
    <row r="40" customFormat="false" ht="25.35" hidden="false" customHeight="false" outlineLevel="0" collapsed="false">
      <c r="A40" s="2" t="s">
        <v>8</v>
      </c>
      <c r="B40" s="2" t="s">
        <v>347</v>
      </c>
      <c r="C40" s="2" t="s">
        <v>18</v>
      </c>
      <c r="D40" s="2" t="s">
        <v>23</v>
      </c>
      <c r="E40" s="2" t="s">
        <v>25</v>
      </c>
      <c r="F40" s="2" t="s">
        <v>28</v>
      </c>
      <c r="G40" s="2" t="s">
        <v>68</v>
      </c>
      <c r="H40" s="2" t="s">
        <v>72</v>
      </c>
      <c r="I40" s="2" t="s">
        <v>348</v>
      </c>
      <c r="J40" s="2" t="s">
        <v>75</v>
      </c>
    </row>
    <row r="41" customFormat="false" ht="15" hidden="false" customHeight="false" outlineLevel="0" collapsed="false">
      <c r="A41" s="22" t="s">
        <v>19</v>
      </c>
      <c r="B41" s="22" t="s">
        <v>20</v>
      </c>
      <c r="C41" s="23" t="n">
        <f aca="false">SUMIFS('Loss time 09-10'!$Q$3:$Q$46,'Loss time 09-10'!$H$3:$H$46,$A41,'Loss time 09-10'!$G$3:$G$46,C$40)</f>
        <v>3.5</v>
      </c>
      <c r="D41" s="23" t="n">
        <f aca="false">SUMIFS('Loss time 09-10'!$Q$3:$Q$46,'Loss time 09-10'!$H$3:$H$46,$A41,'Loss time 09-10'!$G$3:$G$46,D$40)</f>
        <v>9</v>
      </c>
      <c r="E41" s="23" t="n">
        <f aca="false">SUMIFS('Loss time 09-10'!$Q$3:$Q$46,'Loss time 09-10'!$H$3:$H$46,$A41,'Loss time 09-10'!$G$3:$G$46,E$40)</f>
        <v>9.5</v>
      </c>
      <c r="F41" s="23" t="n">
        <f aca="false">SUMIFS('Loss time 09-10'!$Q$3:$Q$46,'Loss time 09-10'!$H$3:$H$46,$A41,'Loss time 09-10'!$G$3:$G$46,F$40)</f>
        <v>25</v>
      </c>
      <c r="G41" s="23" t="n">
        <f aca="false">SUMIFS('Loss time 09-10'!$Q$3:$Q$46,'Loss time 09-10'!$H$3:$H$46,$A41,'Loss time 09-10'!$G$3:$G$46,G$40)</f>
        <v>0</v>
      </c>
      <c r="H41" s="23" t="n">
        <f aca="false">SUMIFS('Loss time 09-10'!$Q$3:$Q$46,'Loss time 09-10'!$H$3:$H$46,$A41,'Loss time 09-10'!$G$3:$G$46,H$40)</f>
        <v>0</v>
      </c>
      <c r="I41" s="23" t="n">
        <f aca="false">SUMIFS('Loss time 09-10'!$Q$3:$Q$46,'Loss time 09-10'!$H$3:$H$46,$A41,'Loss time 09-10'!$G$3:$G$46,I$40)</f>
        <v>0</v>
      </c>
      <c r="J41" s="24" t="n">
        <f aca="false">SUM(C41:I41)</f>
        <v>47</v>
      </c>
    </row>
    <row r="42" customFormat="false" ht="15" hidden="false" customHeight="false" outlineLevel="0" collapsed="false">
      <c r="A42" s="22" t="s">
        <v>30</v>
      </c>
      <c r="B42" s="22" t="s">
        <v>31</v>
      </c>
      <c r="C42" s="23" t="n">
        <f aca="false">SUMIFS('Loss time 09-10'!$Q$3:$Q$46,'Loss time 09-10'!$H$3:$H$46,$A42,'Loss time 09-10'!$G$3:$G$46,C$40)</f>
        <v>12.5</v>
      </c>
      <c r="D42" s="23" t="n">
        <f aca="false">SUMIFS('Loss time 09-10'!$Q$3:$Q$46,'Loss time 09-10'!$H$3:$H$46,$A42,'Loss time 09-10'!$G$3:$G$46,D$40)</f>
        <v>112.5</v>
      </c>
      <c r="E42" s="23" t="n">
        <f aca="false">SUMIFS('Loss time 09-10'!$Q$3:$Q$46,'Loss time 09-10'!$H$3:$H$46,$A42,'Loss time 09-10'!$G$3:$G$46,E$40)</f>
        <v>75</v>
      </c>
      <c r="F42" s="23" t="n">
        <f aca="false">SUMIFS('Loss time 09-10'!$Q$3:$Q$46,'Loss time 09-10'!$H$3:$H$46,$A42,'Loss time 09-10'!$G$3:$G$46,F$40)</f>
        <v>25</v>
      </c>
      <c r="G42" s="23" t="n">
        <f aca="false">SUMIFS('Loss time 09-10'!$Q$3:$Q$46,'Loss time 09-10'!$H$3:$H$46,$A42,'Loss time 09-10'!$G$3:$G$46,G$40)</f>
        <v>0</v>
      </c>
      <c r="H42" s="23" t="n">
        <f aca="false">SUMIFS('Loss time 09-10'!$Q$3:$Q$46,'Loss time 09-10'!$H$3:$H$46,$A42,'Loss time 09-10'!$G$3:$G$46,H$40)</f>
        <v>0</v>
      </c>
      <c r="I42" s="23" t="n">
        <f aca="false">SUMIFS('Loss time 09-10'!$Q$3:$Q$46,'Loss time 09-10'!$H$3:$H$46,$A42,'Loss time 09-10'!$G$3:$G$46,I$40)</f>
        <v>0</v>
      </c>
      <c r="J42" s="24" t="n">
        <f aca="false">SUM(C42:I42)</f>
        <v>225</v>
      </c>
    </row>
    <row r="43" customFormat="false" ht="15" hidden="false" customHeight="false" outlineLevel="0" collapsed="false">
      <c r="A43" s="22" t="s">
        <v>48</v>
      </c>
      <c r="B43" s="22" t="s">
        <v>49</v>
      </c>
      <c r="C43" s="23" t="n">
        <f aca="false">SUMIFS('Loss time 09-10'!$Q$3:$Q$46,'Loss time 09-10'!$H$3:$H$46,$A43,'Loss time 09-10'!$G$3:$G$46,C$40)</f>
        <v>0</v>
      </c>
      <c r="D43" s="23" t="n">
        <f aca="false">SUMIFS('Loss time 09-10'!$Q$3:$Q$46,'Loss time 09-10'!$H$3:$H$46,$A43,'Loss time 09-10'!$G$3:$G$46,D$40)</f>
        <v>0</v>
      </c>
      <c r="E43" s="23" t="n">
        <f aca="false">SUMIFS('Loss time 09-10'!$Q$3:$Q$46,'Loss time 09-10'!$H$3:$H$46,$A43,'Loss time 09-10'!$G$3:$G$46,E$40)</f>
        <v>0</v>
      </c>
      <c r="F43" s="23" t="n">
        <f aca="false">SUMIFS('Loss time 09-10'!$Q$3:$Q$46,'Loss time 09-10'!$H$3:$H$46,$A43,'Loss time 09-10'!$G$3:$G$46,F$40)</f>
        <v>48</v>
      </c>
      <c r="G43" s="23" t="n">
        <f aca="false">SUMIFS('Loss time 09-10'!$Q$3:$Q$46,'Loss time 09-10'!$H$3:$H$46,$A43,'Loss time 09-10'!$G$3:$G$46,G$40)</f>
        <v>0</v>
      </c>
      <c r="H43" s="23" t="n">
        <f aca="false">SUMIFS('Loss time 09-10'!$Q$3:$Q$46,'Loss time 09-10'!$H$3:$H$46,$A43,'Loss time 09-10'!$G$3:$G$46,H$40)</f>
        <v>16</v>
      </c>
      <c r="I43" s="23" t="n">
        <f aca="false">SUMIFS('Loss time 09-10'!$Q$3:$Q$46,'Loss time 09-10'!$H$3:$H$46,$A43,'Loss time 09-10'!$G$3:$G$46,I$40)</f>
        <v>0</v>
      </c>
      <c r="J43" s="24" t="n">
        <f aca="false">SUM(C43:I43)</f>
        <v>64</v>
      </c>
    </row>
    <row r="44" customFormat="false" ht="15" hidden="false" customHeight="false" outlineLevel="0" collapsed="false">
      <c r="A44" s="22" t="s">
        <v>52</v>
      </c>
      <c r="B44" s="22" t="s">
        <v>53</v>
      </c>
      <c r="C44" s="23" t="n">
        <f aca="false">SUMIFS('Loss time 09-10'!$Q$3:$Q$46,'Loss time 09-10'!$H$3:$H$46,$A44,'Loss time 09-10'!$G$3:$G$46,C$40)</f>
        <v>0</v>
      </c>
      <c r="D44" s="23" t="n">
        <f aca="false">SUMIFS('Loss time 09-10'!$Q$3:$Q$46,'Loss time 09-10'!$H$3:$H$46,$A44,'Loss time 09-10'!$G$3:$G$46,D$40)</f>
        <v>0</v>
      </c>
      <c r="E44" s="23" t="n">
        <f aca="false">SUMIFS('Loss time 09-10'!$Q$3:$Q$46,'Loss time 09-10'!$H$3:$H$46,$A44,'Loss time 09-10'!$G$3:$G$46,E$40)</f>
        <v>72</v>
      </c>
      <c r="F44" s="23" t="n">
        <f aca="false">SUMIFS('Loss time 09-10'!$Q$3:$Q$46,'Loss time 09-10'!$H$3:$H$46,$A44,'Loss time 09-10'!$G$3:$G$46,F$40)</f>
        <v>157.5</v>
      </c>
      <c r="G44" s="23" t="n">
        <f aca="false">SUMIFS('Loss time 09-10'!$Q$3:$Q$46,'Loss time 09-10'!$H$3:$H$46,$A44,'Loss time 09-10'!$G$3:$G$46,G$40)</f>
        <v>22.5</v>
      </c>
      <c r="H44" s="23" t="n">
        <f aca="false">SUMIFS('Loss time 09-10'!$Q$3:$Q$46,'Loss time 09-10'!$H$3:$H$46,$A44,'Loss time 09-10'!$G$3:$G$46,H$40)</f>
        <v>49.5</v>
      </c>
      <c r="I44" s="23" t="n">
        <f aca="false">SUMIFS('Loss time 09-10'!$Q$3:$Q$46,'Loss time 09-10'!$H$3:$H$46,$A44,'Loss time 09-10'!$G$3:$G$46,I$40)</f>
        <v>0</v>
      </c>
      <c r="J44" s="24" t="n">
        <f aca="false">SUM(C44:I44)</f>
        <v>301.5</v>
      </c>
    </row>
    <row r="45" customFormat="false" ht="15" hidden="false" customHeight="false" outlineLevel="0" collapsed="false">
      <c r="A45" s="25" t="s">
        <v>75</v>
      </c>
      <c r="B45" s="25"/>
      <c r="C45" s="24" t="n">
        <f aca="false">SUM(C41:C44)</f>
        <v>16</v>
      </c>
      <c r="D45" s="24" t="n">
        <f aca="false">SUM(D41:D44)</f>
        <v>121.5</v>
      </c>
      <c r="E45" s="24" t="n">
        <f aca="false">SUM(E41:E44)</f>
        <v>156.5</v>
      </c>
      <c r="F45" s="24" t="n">
        <f aca="false">SUM(F41:F44)</f>
        <v>255.5</v>
      </c>
      <c r="G45" s="24" t="n">
        <f aca="false">SUM(G41:G44)</f>
        <v>22.5</v>
      </c>
      <c r="H45" s="24" t="n">
        <f aca="false">SUM(H41:H44)</f>
        <v>65.5</v>
      </c>
      <c r="I45" s="24" t="n">
        <f aca="false">SUM(I41:I44)</f>
        <v>0</v>
      </c>
      <c r="J45" s="24" t="n">
        <f aca="false">SUM(J41:J44)</f>
        <v>637.5</v>
      </c>
    </row>
    <row r="48" customFormat="false" ht="15" hidden="false" customHeight="false" outlineLevel="0" collapsed="false">
      <c r="A48" s="18" t="s">
        <v>353</v>
      </c>
    </row>
    <row r="49" customFormat="false" ht="25.35" hidden="false" customHeight="false" outlineLevel="0" collapsed="false">
      <c r="A49" s="2" t="s">
        <v>8</v>
      </c>
      <c r="B49" s="2" t="s">
        <v>347</v>
      </c>
      <c r="C49" s="2" t="s">
        <v>18</v>
      </c>
      <c r="D49" s="2" t="s">
        <v>23</v>
      </c>
      <c r="E49" s="2" t="s">
        <v>25</v>
      </c>
      <c r="F49" s="2" t="s">
        <v>28</v>
      </c>
      <c r="G49" s="2" t="s">
        <v>68</v>
      </c>
      <c r="H49" s="2" t="s">
        <v>72</v>
      </c>
      <c r="I49" s="2" t="s">
        <v>348</v>
      </c>
      <c r="J49" s="2" t="s">
        <v>75</v>
      </c>
    </row>
    <row r="50" customFormat="false" ht="15" hidden="false" customHeight="false" outlineLevel="0" collapsed="false">
      <c r="A50" s="22" t="s">
        <v>19</v>
      </c>
      <c r="B50" s="22" t="s">
        <v>20</v>
      </c>
      <c r="C50" s="23" t="n">
        <f aca="false">SUMIFS('Loss time 10-10'!$Q$3:$Q$46,'Loss time 10-10'!$H$3:$H$46,$A50,'Loss time 10-10'!$G$3:$G$46,C$49)</f>
        <v>3.5</v>
      </c>
      <c r="D50" s="23" t="n">
        <f aca="false">SUMIFS('Loss time 10-10'!$Q$3:$Q$46,'Loss time 10-10'!$H$3:$H$46,$A50,'Loss time 10-10'!$G$3:$G$46,D$49)</f>
        <v>9</v>
      </c>
      <c r="E50" s="23" t="n">
        <f aca="false">SUMIFS('Loss time 10-10'!$Q$3:$Q$46,'Loss time 10-10'!$H$3:$H$46,$A50,'Loss time 10-10'!$G$3:$G$46,E$49)</f>
        <v>9.5</v>
      </c>
      <c r="F50" s="23" t="n">
        <f aca="false">SUMIFS('Loss time 10-10'!$Q$3:$Q$46,'Loss time 10-10'!$H$3:$H$46,$A50,'Loss time 10-10'!$G$3:$G$46,F$49)</f>
        <v>16</v>
      </c>
      <c r="G50" s="23" t="n">
        <f aca="false">SUMIFS('Loss time 10-10'!$Q$3:$Q$46,'Loss time 10-10'!$H$3:$H$46,$A50,'Loss time 10-10'!$G$3:$G$46,G$49)</f>
        <v>0</v>
      </c>
      <c r="H50" s="23" t="n">
        <f aca="false">SUMIFS('Loss time 10-10'!$Q$3:$Q$46,'Loss time 10-10'!$H$3:$H$46,$A50,'Loss time 10-10'!$G$3:$G$46,H$49)</f>
        <v>0</v>
      </c>
      <c r="I50" s="23" t="n">
        <f aca="false">SUMIFS('Loss time 10-10'!$Q$3:$Q$46,'Loss time 10-10'!$H$3:$H$46,$A50,'Loss time 10-10'!$G$3:$G$46,I$49)</f>
        <v>0</v>
      </c>
      <c r="J50" s="24" t="n">
        <f aca="false">SUM(C50:I50)</f>
        <v>38</v>
      </c>
    </row>
    <row r="51" customFormat="false" ht="15" hidden="false" customHeight="false" outlineLevel="0" collapsed="false">
      <c r="A51" s="22" t="s">
        <v>30</v>
      </c>
      <c r="B51" s="22" t="s">
        <v>31</v>
      </c>
      <c r="C51" s="23" t="n">
        <f aca="false">SUMIFS('Loss time 10-10'!$Q$3:$Q$46,'Loss time 10-10'!$H$3:$H$46,$A51,'Loss time 10-10'!$G$3:$G$46,C$49)</f>
        <v>8</v>
      </c>
      <c r="D51" s="23" t="n">
        <f aca="false">SUMIFS('Loss time 10-10'!$Q$3:$Q$46,'Loss time 10-10'!$H$3:$H$46,$A51,'Loss time 10-10'!$G$3:$G$46,D$49)</f>
        <v>72</v>
      </c>
      <c r="E51" s="23" t="n">
        <f aca="false">SUMIFS('Loss time 10-10'!$Q$3:$Q$46,'Loss time 10-10'!$H$3:$H$46,$A51,'Loss time 10-10'!$G$3:$G$46,E$49)</f>
        <v>48</v>
      </c>
      <c r="F51" s="23" t="n">
        <f aca="false">SUMIFS('Loss time 10-10'!$Q$3:$Q$46,'Loss time 10-10'!$H$3:$H$46,$A51,'Loss time 10-10'!$G$3:$G$46,F$49)</f>
        <v>16</v>
      </c>
      <c r="G51" s="23" t="n">
        <f aca="false">SUMIFS('Loss time 10-10'!$Q$3:$Q$46,'Loss time 10-10'!$H$3:$H$46,$A51,'Loss time 10-10'!$G$3:$G$46,G$49)</f>
        <v>0</v>
      </c>
      <c r="H51" s="23" t="n">
        <f aca="false">SUMIFS('Loss time 10-10'!$Q$3:$Q$46,'Loss time 10-10'!$H$3:$H$46,$A51,'Loss time 10-10'!$G$3:$G$46,H$49)</f>
        <v>0</v>
      </c>
      <c r="I51" s="23" t="n">
        <f aca="false">SUMIFS('Loss time 10-10'!$Q$3:$Q$46,'Loss time 10-10'!$H$3:$H$46,$A51,'Loss time 10-10'!$G$3:$G$46,I$49)</f>
        <v>0</v>
      </c>
      <c r="J51" s="24" t="n">
        <f aca="false">SUM(C51:I51)</f>
        <v>144</v>
      </c>
    </row>
    <row r="52" customFormat="false" ht="15" hidden="false" customHeight="false" outlineLevel="0" collapsed="false">
      <c r="A52" s="22" t="s">
        <v>48</v>
      </c>
      <c r="B52" s="22" t="s">
        <v>49</v>
      </c>
      <c r="C52" s="23" t="n">
        <f aca="false">SUMIFS('Loss time 10-10'!$Q$3:$Q$46,'Loss time 10-10'!$H$3:$H$46,$A52,'Loss time 10-10'!$G$3:$G$46,C$49)</f>
        <v>0</v>
      </c>
      <c r="D52" s="23" t="n">
        <f aca="false">SUMIFS('Loss time 10-10'!$Q$3:$Q$46,'Loss time 10-10'!$H$3:$H$46,$A52,'Loss time 10-10'!$G$3:$G$46,D$49)</f>
        <v>0</v>
      </c>
      <c r="E52" s="23" t="n">
        <f aca="false">SUMIFS('Loss time 10-10'!$Q$3:$Q$46,'Loss time 10-10'!$H$3:$H$46,$A52,'Loss time 10-10'!$G$3:$G$46,E$49)</f>
        <v>0</v>
      </c>
      <c r="F52" s="23" t="n">
        <f aca="false">SUMIFS('Loss time 10-10'!$Q$3:$Q$46,'Loss time 10-10'!$H$3:$H$46,$A52,'Loss time 10-10'!$G$3:$G$46,F$49)</f>
        <v>0</v>
      </c>
      <c r="G52" s="23" t="n">
        <f aca="false">SUMIFS('Loss time 10-10'!$Q$3:$Q$46,'Loss time 10-10'!$H$3:$H$46,$A52,'Loss time 10-10'!$G$3:$G$46,G$49)</f>
        <v>0</v>
      </c>
      <c r="H52" s="23" t="n">
        <f aca="false">SUMIFS('Loss time 10-10'!$Q$3:$Q$46,'Loss time 10-10'!$H$3:$H$46,$A52,'Loss time 10-10'!$G$3:$G$46,H$49)</f>
        <v>0</v>
      </c>
      <c r="I52" s="23" t="n">
        <f aca="false">SUMIFS('Loss time 10-10'!$Q$3:$Q$46,'Loss time 10-10'!$H$3:$H$46,$A52,'Loss time 10-10'!$G$3:$G$46,I$49)</f>
        <v>0</v>
      </c>
      <c r="J52" s="24" t="n">
        <f aca="false">SUM(C52:I52)</f>
        <v>0</v>
      </c>
    </row>
    <row r="53" customFormat="false" ht="15" hidden="false" customHeight="false" outlineLevel="0" collapsed="false">
      <c r="A53" s="22" t="s">
        <v>52</v>
      </c>
      <c r="B53" s="22" t="s">
        <v>53</v>
      </c>
      <c r="C53" s="23" t="n">
        <f aca="false">SUMIFS('Loss time 10-10'!$Q$3:$Q$46,'Loss time 10-10'!$H$3:$H$46,$A53,'Loss time 10-10'!$G$3:$G$46,C$49)</f>
        <v>0</v>
      </c>
      <c r="D53" s="23" t="n">
        <f aca="false">SUMIFS('Loss time 10-10'!$Q$3:$Q$46,'Loss time 10-10'!$H$3:$H$46,$A53,'Loss time 10-10'!$G$3:$G$46,D$49)</f>
        <v>0</v>
      </c>
      <c r="E53" s="23" t="n">
        <f aca="false">SUMIFS('Loss time 10-10'!$Q$3:$Q$46,'Loss time 10-10'!$H$3:$H$46,$A53,'Loss time 10-10'!$G$3:$G$46,E$49)</f>
        <v>72</v>
      </c>
      <c r="F53" s="23" t="n">
        <f aca="false">SUMIFS('Loss time 10-10'!$Q$3:$Q$46,'Loss time 10-10'!$H$3:$H$46,$A53,'Loss time 10-10'!$G$3:$G$46,F$49)</f>
        <v>184.5</v>
      </c>
      <c r="G53" s="23" t="n">
        <f aca="false">SUMIFS('Loss time 10-10'!$Q$3:$Q$46,'Loss time 10-10'!$H$3:$H$46,$A53,'Loss time 10-10'!$G$3:$G$46,G$49)</f>
        <v>22.5</v>
      </c>
      <c r="H53" s="23" t="n">
        <f aca="false">SUMIFS('Loss time 10-10'!$Q$3:$Q$46,'Loss time 10-10'!$H$3:$H$46,$A53,'Loss time 10-10'!$G$3:$G$46,H$49)</f>
        <v>58.5</v>
      </c>
      <c r="I53" s="23" t="n">
        <f aca="false">SUMIFS('Loss time 10-10'!$Q$3:$Q$46,'Loss time 10-10'!$H$3:$H$46,$A53,'Loss time 10-10'!$G$3:$G$46,I$49)</f>
        <v>0</v>
      </c>
      <c r="J53" s="24" t="n">
        <f aca="false">SUM(C53:I53)</f>
        <v>337.5</v>
      </c>
    </row>
    <row r="54" customFormat="false" ht="15" hidden="false" customHeight="false" outlineLevel="0" collapsed="false">
      <c r="A54" s="25" t="s">
        <v>75</v>
      </c>
      <c r="B54" s="25"/>
      <c r="C54" s="24" t="n">
        <f aca="false">SUM(C50:C53)</f>
        <v>11.5</v>
      </c>
      <c r="D54" s="24" t="n">
        <f aca="false">SUM(D50:D53)</f>
        <v>81</v>
      </c>
      <c r="E54" s="24" t="n">
        <f aca="false">SUM(E50:E53)</f>
        <v>129.5</v>
      </c>
      <c r="F54" s="24" t="n">
        <f aca="false">SUM(F50:F53)</f>
        <v>216.5</v>
      </c>
      <c r="G54" s="24" t="n">
        <f aca="false">SUM(G50:G53)</f>
        <v>22.5</v>
      </c>
      <c r="H54" s="24" t="n">
        <f aca="false">SUM(H50:H53)</f>
        <v>58.5</v>
      </c>
      <c r="I54" s="24" t="n">
        <f aca="false">SUM(I50:I53)</f>
        <v>0</v>
      </c>
      <c r="J54" s="24" t="n">
        <f aca="false">SUM(J50:J53)</f>
        <v>519.5</v>
      </c>
    </row>
    <row r="57" customFormat="false" ht="15" hidden="false" customHeight="false" outlineLevel="0" collapsed="false">
      <c r="A57" s="18" t="s">
        <v>354</v>
      </c>
    </row>
    <row r="58" customFormat="false" ht="25.35" hidden="false" customHeight="false" outlineLevel="0" collapsed="false">
      <c r="A58" s="2" t="s">
        <v>8</v>
      </c>
      <c r="B58" s="2" t="s">
        <v>347</v>
      </c>
      <c r="C58" s="2" t="s">
        <v>18</v>
      </c>
      <c r="D58" s="2" t="s">
        <v>23</v>
      </c>
      <c r="E58" s="2" t="s">
        <v>25</v>
      </c>
      <c r="F58" s="2" t="s">
        <v>28</v>
      </c>
      <c r="G58" s="2" t="s">
        <v>68</v>
      </c>
      <c r="H58" s="2" t="s">
        <v>72</v>
      </c>
      <c r="I58" s="2" t="s">
        <v>348</v>
      </c>
      <c r="J58" s="2" t="s">
        <v>75</v>
      </c>
    </row>
    <row r="59" customFormat="false" ht="15" hidden="false" customHeight="false" outlineLevel="0" collapsed="false">
      <c r="A59" s="22" t="s">
        <v>19</v>
      </c>
      <c r="B59" s="22" t="s">
        <v>20</v>
      </c>
      <c r="C59" s="23" t="n">
        <f aca="false">SUMIFS('Loss time 12-10'!$Q$3:$Q$48,'Loss time 12-10'!$H$3:$H$48,$A59,'Loss time 12-10'!$G$3:$G$48,C$58)</f>
        <v>3.5</v>
      </c>
      <c r="D59" s="23" t="n">
        <f aca="false">SUMIFS('Loss time 12-10'!$Q$3:$Q$48,'Loss time 12-10'!$H$3:$H$48,$A59,'Loss time 12-10'!$G$3:$G$48,D$58)</f>
        <v>9</v>
      </c>
      <c r="E59" s="23" t="n">
        <f aca="false">SUMIFS('Loss time 12-10'!$Q$3:$Q$48,'Loss time 12-10'!$H$3:$H$48,$A59,'Loss time 12-10'!$G$3:$G$48,E$58)</f>
        <v>9.5</v>
      </c>
      <c r="F59" s="23" t="n">
        <f aca="false">SUMIFS('Loss time 12-10'!$Q$3:$Q$48,'Loss time 12-10'!$H$3:$H$48,$A59,'Loss time 12-10'!$G$3:$G$48,F$58)</f>
        <v>25</v>
      </c>
      <c r="G59" s="23" t="n">
        <f aca="false">SUMIFS('Loss time 12-10'!$Q$3:$Q$48,'Loss time 12-10'!$H$3:$H$48,$A59,'Loss time 12-10'!$G$3:$G$48,G$58)</f>
        <v>0</v>
      </c>
      <c r="H59" s="23" t="n">
        <f aca="false">SUMIFS('Loss time 12-10'!$Q$3:$Q$48,'Loss time 12-10'!$H$3:$H$48,$A59,'Loss time 12-10'!$G$3:$G$48,H$58)</f>
        <v>0</v>
      </c>
      <c r="I59" s="23" t="n">
        <f aca="false">SUMIFS('Loss time 12-10'!$Q$3:$Q$48,'Loss time 12-10'!$H$3:$H$48,$A59,'Loss time 12-10'!$G$3:$G$48,I$58)</f>
        <v>0</v>
      </c>
      <c r="J59" s="24" t="n">
        <f aca="false">SUM(C59:I59)</f>
        <v>47</v>
      </c>
    </row>
    <row r="60" customFormat="false" ht="15" hidden="false" customHeight="false" outlineLevel="0" collapsed="false">
      <c r="A60" s="22" t="s">
        <v>30</v>
      </c>
      <c r="B60" s="22" t="s">
        <v>31</v>
      </c>
      <c r="C60" s="23" t="n">
        <f aca="false">SUMIFS('Loss time 12-10'!$Q$3:$Q$48,'Loss time 12-10'!$H$3:$H$48,$A60,'Loss time 12-10'!$G$3:$G$48,C$58)</f>
        <v>12.5</v>
      </c>
      <c r="D60" s="23" t="n">
        <f aca="false">SUMIFS('Loss time 12-10'!$Q$3:$Q$48,'Loss time 12-10'!$H$3:$H$48,$A60,'Loss time 12-10'!$G$3:$G$48,D$58)</f>
        <v>112.5</v>
      </c>
      <c r="E60" s="23" t="n">
        <f aca="false">SUMIFS('Loss time 12-10'!$Q$3:$Q$48,'Loss time 12-10'!$H$3:$H$48,$A60,'Loss time 12-10'!$G$3:$G$48,E$58)</f>
        <v>75</v>
      </c>
      <c r="F60" s="23" t="n">
        <f aca="false">SUMIFS('Loss time 12-10'!$Q$3:$Q$48,'Loss time 12-10'!$H$3:$H$48,$A60,'Loss time 12-10'!$G$3:$G$48,F$58)</f>
        <v>25</v>
      </c>
      <c r="G60" s="23" t="n">
        <f aca="false">SUMIFS('Loss time 12-10'!$Q$3:$Q$48,'Loss time 12-10'!$H$3:$H$48,$A60,'Loss time 12-10'!$G$3:$G$48,G$58)</f>
        <v>0</v>
      </c>
      <c r="H60" s="23" t="n">
        <f aca="false">SUMIFS('Loss time 12-10'!$Q$3:$Q$48,'Loss time 12-10'!$H$3:$H$48,$A60,'Loss time 12-10'!$G$3:$G$48,H$58)</f>
        <v>0</v>
      </c>
      <c r="I60" s="23" t="n">
        <f aca="false">SUMIFS('Loss time 12-10'!$Q$3:$Q$48,'Loss time 12-10'!$H$3:$H$48,$A60,'Loss time 12-10'!$G$3:$G$48,I$58)</f>
        <v>0</v>
      </c>
      <c r="J60" s="24" t="n">
        <f aca="false">SUM(C60:I60)</f>
        <v>225</v>
      </c>
    </row>
    <row r="61" customFormat="false" ht="15" hidden="false" customHeight="false" outlineLevel="0" collapsed="false">
      <c r="A61" s="22" t="s">
        <v>48</v>
      </c>
      <c r="B61" s="22" t="s">
        <v>49</v>
      </c>
      <c r="C61" s="23" t="n">
        <f aca="false">SUMIFS('Loss time 12-10'!$Q$3:$Q$48,'Loss time 12-10'!$H$3:$H$48,$A61,'Loss time 12-10'!$G$3:$G$48,C$58)</f>
        <v>0</v>
      </c>
      <c r="D61" s="23" t="n">
        <f aca="false">SUMIFS('Loss time 12-10'!$Q$3:$Q$48,'Loss time 12-10'!$H$3:$H$48,$A61,'Loss time 12-10'!$G$3:$G$48,D$58)</f>
        <v>0</v>
      </c>
      <c r="E61" s="23" t="n">
        <f aca="false">SUMIFS('Loss time 12-10'!$Q$3:$Q$48,'Loss time 12-10'!$H$3:$H$48,$A61,'Loss time 12-10'!$G$3:$G$48,E$58)</f>
        <v>0</v>
      </c>
      <c r="F61" s="23" t="n">
        <f aca="false">SUMIFS('Loss time 12-10'!$Q$3:$Q$48,'Loss time 12-10'!$H$3:$H$48,$A61,'Loss time 12-10'!$G$3:$G$48,F$58)</f>
        <v>16</v>
      </c>
      <c r="G61" s="23" t="n">
        <f aca="false">SUMIFS('Loss time 12-10'!$Q$3:$Q$48,'Loss time 12-10'!$H$3:$H$48,$A61,'Loss time 12-10'!$G$3:$G$48,G$58)</f>
        <v>0</v>
      </c>
      <c r="H61" s="23" t="n">
        <f aca="false">SUMIFS('Loss time 12-10'!$Q$3:$Q$48,'Loss time 12-10'!$H$3:$H$48,$A61,'Loss time 12-10'!$G$3:$G$48,H$58)</f>
        <v>8</v>
      </c>
      <c r="I61" s="23" t="n">
        <f aca="false">SUMIFS('Loss time 12-10'!$Q$3:$Q$48,'Loss time 12-10'!$H$3:$H$48,$A61,'Loss time 12-10'!$G$3:$G$48,I$58)</f>
        <v>0</v>
      </c>
      <c r="J61" s="24" t="n">
        <f aca="false">SUM(C61:I61)</f>
        <v>24</v>
      </c>
    </row>
    <row r="62" customFormat="false" ht="15" hidden="false" customHeight="false" outlineLevel="0" collapsed="false">
      <c r="A62" s="22" t="s">
        <v>52</v>
      </c>
      <c r="B62" s="22" t="s">
        <v>53</v>
      </c>
      <c r="C62" s="23" t="n">
        <f aca="false">SUMIFS('Loss time 12-10'!$Q$3:$Q$48,'Loss time 12-10'!$H$3:$H$48,$A62,'Loss time 12-10'!$G$3:$G$48,C$58)</f>
        <v>0</v>
      </c>
      <c r="D62" s="23" t="n">
        <f aca="false">SUMIFS('Loss time 12-10'!$Q$3:$Q$48,'Loss time 12-10'!$H$3:$H$48,$A62,'Loss time 12-10'!$G$3:$G$48,D$58)</f>
        <v>0</v>
      </c>
      <c r="E62" s="23" t="n">
        <f aca="false">SUMIFS('Loss time 12-10'!$Q$3:$Q$48,'Loss time 12-10'!$H$3:$H$48,$A62,'Loss time 12-10'!$G$3:$G$48,E$58)</f>
        <v>72</v>
      </c>
      <c r="F62" s="23" t="n">
        <f aca="false">SUMIFS('Loss time 12-10'!$Q$3:$Q$48,'Loss time 12-10'!$H$3:$H$48,$A62,'Loss time 12-10'!$G$3:$G$48,F$58)</f>
        <v>184.5</v>
      </c>
      <c r="G62" s="23" t="n">
        <f aca="false">SUMIFS('Loss time 12-10'!$Q$3:$Q$48,'Loss time 12-10'!$H$3:$H$48,$A62,'Loss time 12-10'!$G$3:$G$48,G$58)</f>
        <v>22.5</v>
      </c>
      <c r="H62" s="23" t="n">
        <f aca="false">SUMIFS('Loss time 12-10'!$Q$3:$Q$48,'Loss time 12-10'!$H$3:$H$48,$A62,'Loss time 12-10'!$G$3:$G$48,H$58)</f>
        <v>58.5</v>
      </c>
      <c r="I62" s="23" t="n">
        <f aca="false">SUMIFS('Loss time 12-10'!$Q$3:$Q$48,'Loss time 12-10'!$H$3:$H$48,$A62,'Loss time 12-10'!$G$3:$G$48,I$58)</f>
        <v>0</v>
      </c>
      <c r="J62" s="24" t="n">
        <f aca="false">SUM(C62:I62)</f>
        <v>337.5</v>
      </c>
    </row>
    <row r="63" customFormat="false" ht="15" hidden="false" customHeight="false" outlineLevel="0" collapsed="false">
      <c r="A63" s="25" t="s">
        <v>75</v>
      </c>
      <c r="B63" s="25"/>
      <c r="C63" s="24" t="n">
        <f aca="false">SUM(C59:C62)</f>
        <v>16</v>
      </c>
      <c r="D63" s="24" t="n">
        <f aca="false">SUM(D59:D62)</f>
        <v>121.5</v>
      </c>
      <c r="E63" s="24" t="n">
        <f aca="false">SUM(E59:E62)</f>
        <v>156.5</v>
      </c>
      <c r="F63" s="24" t="n">
        <f aca="false">SUM(F59:F62)</f>
        <v>250.5</v>
      </c>
      <c r="G63" s="24" t="n">
        <f aca="false">SUM(G59:G62)</f>
        <v>22.5</v>
      </c>
      <c r="H63" s="24" t="n">
        <f aca="false">SUM(H59:H62)</f>
        <v>66.5</v>
      </c>
      <c r="I63" s="24" t="n">
        <f aca="false">SUM(I59:I62)</f>
        <v>0</v>
      </c>
      <c r="J63" s="24" t="n">
        <f aca="false">SUM(J59:J62)</f>
        <v>633.5</v>
      </c>
    </row>
    <row r="66" customFormat="false" ht="15" hidden="false" customHeight="false" outlineLevel="0" collapsed="false">
      <c r="A66" s="18" t="s">
        <v>355</v>
      </c>
    </row>
    <row r="67" customFormat="false" ht="25.35" hidden="false" customHeight="false" outlineLevel="0" collapsed="false">
      <c r="A67" s="2" t="s">
        <v>8</v>
      </c>
      <c r="B67" s="2" t="s">
        <v>347</v>
      </c>
      <c r="C67" s="2" t="s">
        <v>18</v>
      </c>
      <c r="D67" s="2" t="s">
        <v>23</v>
      </c>
      <c r="E67" s="2" t="s">
        <v>25</v>
      </c>
      <c r="F67" s="2" t="s">
        <v>28</v>
      </c>
      <c r="G67" s="2" t="s">
        <v>68</v>
      </c>
      <c r="H67" s="2" t="s">
        <v>72</v>
      </c>
      <c r="I67" s="2" t="s">
        <v>348</v>
      </c>
      <c r="J67" s="2" t="s">
        <v>75</v>
      </c>
    </row>
    <row r="68" customFormat="false" ht="15" hidden="false" customHeight="false" outlineLevel="0" collapsed="false">
      <c r="A68" s="22" t="s">
        <v>19</v>
      </c>
      <c r="B68" s="22" t="s">
        <v>20</v>
      </c>
      <c r="C68" s="23" t="n">
        <f aca="false">SUMIFS('Loss time 13-10'!$Q$3:$Q$50,'Loss time 13-10'!$H$3:$H$50,$A68,'Loss time 13-10'!$G$3:$G$50,C$67)</f>
        <v>3.5</v>
      </c>
      <c r="D68" s="23" t="n">
        <f aca="false">SUMIFS('Loss time 13-10'!$Q$3:$Q$50,'Loss time 13-10'!$H$3:$H$50,$A68,'Loss time 13-10'!$G$3:$G$50,D$67)</f>
        <v>9</v>
      </c>
      <c r="E68" s="23" t="n">
        <f aca="false">SUMIFS('Loss time 13-10'!$Q$3:$Q$50,'Loss time 13-10'!$H$3:$H$50,$A68,'Loss time 13-10'!$G$3:$G$50,E$67)</f>
        <v>9.5</v>
      </c>
      <c r="F68" s="23" t="n">
        <f aca="false">SUMIFS('Loss time 13-10'!$Q$3:$Q$50,'Loss time 13-10'!$H$3:$H$50,$A68,'Loss time 13-10'!$G$3:$G$50,F$67)</f>
        <v>25</v>
      </c>
      <c r="G68" s="23" t="n">
        <f aca="false">SUMIFS('Loss time 13-10'!$Q$3:$Q$50,'Loss time 13-10'!$H$3:$H$50,$A68,'Loss time 13-10'!$G$3:$G$50,G$67)</f>
        <v>0</v>
      </c>
      <c r="H68" s="23" t="n">
        <f aca="false">SUMIFS('Loss time 13-10'!$Q$3:$Q$50,'Loss time 13-10'!$H$3:$H$50,$A68,'Loss time 13-10'!$G$3:$G$50,H$67)</f>
        <v>0</v>
      </c>
      <c r="I68" s="23" t="n">
        <f aca="false">SUMIFS('Loss time 13-10'!$Q$3:$Q$50,'Loss time 13-10'!$H$3:$H$50,$A68,'Loss time 13-10'!$G$3:$G$50,I$67)</f>
        <v>0</v>
      </c>
      <c r="J68" s="24" t="n">
        <f aca="false">SUM(C68:I68)</f>
        <v>47</v>
      </c>
    </row>
    <row r="69" customFormat="false" ht="15" hidden="false" customHeight="false" outlineLevel="0" collapsed="false">
      <c r="A69" s="22" t="s">
        <v>30</v>
      </c>
      <c r="B69" s="22" t="s">
        <v>31</v>
      </c>
      <c r="C69" s="23" t="n">
        <f aca="false">SUMIFS('Loss time 13-10'!$Q$3:$Q$50,'Loss time 13-10'!$H$3:$H$50,$A69,'Loss time 13-10'!$G$3:$G$50,C$67)</f>
        <v>12.5</v>
      </c>
      <c r="D69" s="23" t="n">
        <f aca="false">SUMIFS('Loss time 13-10'!$Q$3:$Q$50,'Loss time 13-10'!$H$3:$H$50,$A69,'Loss time 13-10'!$G$3:$G$50,D$67)</f>
        <v>112.5</v>
      </c>
      <c r="E69" s="23" t="n">
        <f aca="false">SUMIFS('Loss time 13-10'!$Q$3:$Q$50,'Loss time 13-10'!$H$3:$H$50,$A69,'Loss time 13-10'!$G$3:$G$50,E$67)</f>
        <v>75</v>
      </c>
      <c r="F69" s="23" t="n">
        <f aca="false">SUMIFS('Loss time 13-10'!$Q$3:$Q$50,'Loss time 13-10'!$H$3:$H$50,$A69,'Loss time 13-10'!$G$3:$G$50,F$67)</f>
        <v>25</v>
      </c>
      <c r="G69" s="23" t="n">
        <f aca="false">SUMIFS('Loss time 13-10'!$Q$3:$Q$50,'Loss time 13-10'!$H$3:$H$50,$A69,'Loss time 13-10'!$G$3:$G$50,G$67)</f>
        <v>0</v>
      </c>
      <c r="H69" s="23" t="n">
        <f aca="false">SUMIFS('Loss time 13-10'!$Q$3:$Q$50,'Loss time 13-10'!$H$3:$H$50,$A69,'Loss time 13-10'!$G$3:$G$50,H$67)</f>
        <v>0</v>
      </c>
      <c r="I69" s="23" t="n">
        <f aca="false">SUMIFS('Loss time 13-10'!$Q$3:$Q$50,'Loss time 13-10'!$H$3:$H$50,$A69,'Loss time 13-10'!$G$3:$G$50,I$67)</f>
        <v>0</v>
      </c>
      <c r="J69" s="24" t="n">
        <f aca="false">SUM(C69:I69)</f>
        <v>225</v>
      </c>
    </row>
    <row r="70" customFormat="false" ht="15" hidden="false" customHeight="false" outlineLevel="0" collapsed="false">
      <c r="A70" s="22" t="s">
        <v>48</v>
      </c>
      <c r="B70" s="22" t="s">
        <v>49</v>
      </c>
      <c r="C70" s="23" t="n">
        <f aca="false">SUMIFS('Loss time 13-10'!$Q$3:$Q$50,'Loss time 13-10'!$H$3:$H$50,$A70,'Loss time 13-10'!$G$3:$G$50,C$67)</f>
        <v>0</v>
      </c>
      <c r="D70" s="23" t="n">
        <f aca="false">SUMIFS('Loss time 13-10'!$Q$3:$Q$50,'Loss time 13-10'!$H$3:$H$50,$A70,'Loss time 13-10'!$G$3:$G$50,D$67)</f>
        <v>0</v>
      </c>
      <c r="E70" s="23" t="n">
        <f aca="false">SUMIFS('Loss time 13-10'!$Q$3:$Q$50,'Loss time 13-10'!$H$3:$H$50,$A70,'Loss time 13-10'!$G$3:$G$50,E$67)</f>
        <v>8</v>
      </c>
      <c r="F70" s="23" t="n">
        <f aca="false">SUMIFS('Loss time 13-10'!$Q$3:$Q$50,'Loss time 13-10'!$H$3:$H$50,$A70,'Loss time 13-10'!$G$3:$G$50,F$67)</f>
        <v>16</v>
      </c>
      <c r="G70" s="23" t="n">
        <f aca="false">SUMIFS('Loss time 13-10'!$Q$3:$Q$50,'Loss time 13-10'!$H$3:$H$50,$A70,'Loss time 13-10'!$G$3:$G$50,G$67)</f>
        <v>0</v>
      </c>
      <c r="H70" s="23" t="n">
        <f aca="false">SUMIFS('Loss time 13-10'!$Q$3:$Q$50,'Loss time 13-10'!$H$3:$H$50,$A70,'Loss time 13-10'!$G$3:$G$50,H$67)</f>
        <v>32</v>
      </c>
      <c r="I70" s="23" t="n">
        <f aca="false">SUMIFS('Loss time 13-10'!$Q$3:$Q$50,'Loss time 13-10'!$H$3:$H$50,$A70,'Loss time 13-10'!$G$3:$G$50,I$67)</f>
        <v>0</v>
      </c>
      <c r="J70" s="24" t="n">
        <f aca="false">SUM(C70:I70)</f>
        <v>56</v>
      </c>
    </row>
    <row r="71" customFormat="false" ht="15" hidden="false" customHeight="false" outlineLevel="0" collapsed="false">
      <c r="A71" s="22" t="s">
        <v>52</v>
      </c>
      <c r="B71" s="22" t="s">
        <v>53</v>
      </c>
      <c r="C71" s="23" t="n">
        <f aca="false">SUMIFS('Loss time 13-10'!$Q$3:$Q$50,'Loss time 13-10'!$H$3:$H$50,$A71,'Loss time 13-10'!$G$3:$G$50,C$67)</f>
        <v>0</v>
      </c>
      <c r="D71" s="23" t="n">
        <f aca="false">SUMIFS('Loss time 13-10'!$Q$3:$Q$50,'Loss time 13-10'!$H$3:$H$50,$A71,'Loss time 13-10'!$G$3:$G$50,D$67)</f>
        <v>0</v>
      </c>
      <c r="E71" s="23" t="n">
        <f aca="false">SUMIFS('Loss time 13-10'!$Q$3:$Q$50,'Loss time 13-10'!$H$3:$H$50,$A71,'Loss time 13-10'!$G$3:$G$50,E$67)</f>
        <v>72</v>
      </c>
      <c r="F71" s="23" t="n">
        <f aca="false">SUMIFS('Loss time 13-10'!$Q$3:$Q$50,'Loss time 13-10'!$H$3:$H$50,$A71,'Loss time 13-10'!$G$3:$G$50,F$67)</f>
        <v>180</v>
      </c>
      <c r="G71" s="23" t="n">
        <f aca="false">SUMIFS('Loss time 13-10'!$Q$3:$Q$50,'Loss time 13-10'!$H$3:$H$50,$A71,'Loss time 13-10'!$G$3:$G$50,G$67)</f>
        <v>22.5</v>
      </c>
      <c r="H71" s="23" t="n">
        <f aca="false">SUMIFS('Loss time 13-10'!$Q$3:$Q$50,'Loss time 13-10'!$H$3:$H$50,$A71,'Loss time 13-10'!$G$3:$G$50,H$67)</f>
        <v>63</v>
      </c>
      <c r="I71" s="23" t="n">
        <f aca="false">SUMIFS('Loss time 13-10'!$Q$3:$Q$50,'Loss time 13-10'!$H$3:$H$50,$A71,'Loss time 13-10'!$G$3:$G$50,I$67)</f>
        <v>0</v>
      </c>
      <c r="J71" s="24" t="n">
        <f aca="false">SUM(C71:I71)</f>
        <v>337.5</v>
      </c>
    </row>
    <row r="72" customFormat="false" ht="15" hidden="false" customHeight="false" outlineLevel="0" collapsed="false">
      <c r="A72" s="25" t="s">
        <v>75</v>
      </c>
      <c r="B72" s="25"/>
      <c r="C72" s="24" t="n">
        <f aca="false">SUM(C68:C71)</f>
        <v>16</v>
      </c>
      <c r="D72" s="24" t="n">
        <f aca="false">SUM(D68:D71)</f>
        <v>121.5</v>
      </c>
      <c r="E72" s="24" t="n">
        <f aca="false">SUM(E68:E71)</f>
        <v>164.5</v>
      </c>
      <c r="F72" s="24" t="n">
        <f aca="false">SUM(F68:F71)</f>
        <v>246</v>
      </c>
      <c r="G72" s="24" t="n">
        <f aca="false">SUM(G68:G71)</f>
        <v>22.5</v>
      </c>
      <c r="H72" s="24" t="n">
        <f aca="false">SUM(H68:H71)</f>
        <v>95</v>
      </c>
      <c r="I72" s="24" t="n">
        <f aca="false">SUM(I68:I71)</f>
        <v>0</v>
      </c>
      <c r="J72" s="24" t="n">
        <f aca="false">SUM(J68:J71)</f>
        <v>665.5</v>
      </c>
    </row>
    <row r="75" customFormat="false" ht="15" hidden="false" customHeight="false" outlineLevel="0" collapsed="false">
      <c r="A75" s="18" t="s">
        <v>356</v>
      </c>
    </row>
    <row r="76" customFormat="false" ht="25.35" hidden="false" customHeight="false" outlineLevel="0" collapsed="false">
      <c r="A76" s="2" t="s">
        <v>8</v>
      </c>
      <c r="B76" s="2" t="s">
        <v>347</v>
      </c>
      <c r="C76" s="2" t="s">
        <v>18</v>
      </c>
      <c r="D76" s="2" t="s">
        <v>23</v>
      </c>
      <c r="E76" s="2" t="s">
        <v>25</v>
      </c>
      <c r="F76" s="2" t="s">
        <v>28</v>
      </c>
      <c r="G76" s="2" t="s">
        <v>68</v>
      </c>
      <c r="H76" s="2" t="s">
        <v>72</v>
      </c>
      <c r="I76" s="2" t="s">
        <v>348</v>
      </c>
      <c r="J76" s="2" t="s">
        <v>75</v>
      </c>
    </row>
    <row r="77" customFormat="false" ht="15" hidden="false" customHeight="false" outlineLevel="0" collapsed="false">
      <c r="A77" s="22" t="s">
        <v>19</v>
      </c>
      <c r="B77" s="22" t="s">
        <v>20</v>
      </c>
      <c r="C77" s="23" t="n">
        <f aca="false">SUMIFS('Loss time 14-10'!$Q$3:$Q$40,'Loss time 14-10'!$H$3:$H$40,$A77,'Loss time 14-10'!$G$3:$G$40,C$76)</f>
        <v>3.5</v>
      </c>
      <c r="D77" s="23" t="n">
        <f aca="false">SUMIFS('Loss time 14-10'!$Q$3:$Q$40,'Loss time 14-10'!$H$3:$H$40,$A77,'Loss time 14-10'!$G$3:$G$40,D$76)</f>
        <v>9</v>
      </c>
      <c r="E77" s="23" t="n">
        <f aca="false">SUMIFS('Loss time 14-10'!$Q$3:$Q$40,'Loss time 14-10'!$H$3:$H$40,$A77,'Loss time 14-10'!$G$3:$G$40,E$76)</f>
        <v>9.5</v>
      </c>
      <c r="F77" s="23" t="n">
        <f aca="false">SUMIFS('Loss time 14-10'!$Q$3:$Q$40,'Loss time 14-10'!$H$3:$H$40,$A77,'Loss time 14-10'!$G$3:$G$40,F$76)</f>
        <v>25</v>
      </c>
      <c r="G77" s="23" t="n">
        <f aca="false">SUMIFS('Loss time 14-10'!$Q$3:$Q$40,'Loss time 14-10'!$H$3:$H$40,$A77,'Loss time 14-10'!$G$3:$G$40,G$76)</f>
        <v>0</v>
      </c>
      <c r="H77" s="23" t="n">
        <f aca="false">SUMIFS('Loss time 14-10'!$Q$3:$Q$40,'Loss time 14-10'!$H$3:$H$40,$A77,'Loss time 14-10'!$G$3:$G$40,H$76)</f>
        <v>0</v>
      </c>
      <c r="I77" s="23" t="n">
        <f aca="false">SUMIFS('Loss time 14-10'!$Q$3:$Q$40,'Loss time 14-10'!$H$3:$H$40,$A77,'Loss time 14-10'!$G$3:$G$40,I$76)</f>
        <v>0</v>
      </c>
      <c r="J77" s="24" t="n">
        <f aca="false">SUM(C77:I77)</f>
        <v>47</v>
      </c>
    </row>
    <row r="78" customFormat="false" ht="15" hidden="false" customHeight="false" outlineLevel="0" collapsed="false">
      <c r="A78" s="22" t="s">
        <v>30</v>
      </c>
      <c r="B78" s="22" t="s">
        <v>31</v>
      </c>
      <c r="C78" s="23" t="n">
        <f aca="false">SUMIFS('Loss time 14-10'!$Q$3:$Q$40,'Loss time 14-10'!$H$3:$H$40,$A78,'Loss time 14-10'!$G$3:$G$40,C$76)</f>
        <v>12.5</v>
      </c>
      <c r="D78" s="23" t="n">
        <f aca="false">SUMIFS('Loss time 14-10'!$Q$3:$Q$40,'Loss time 14-10'!$H$3:$H$40,$A78,'Loss time 14-10'!$G$3:$G$40,D$76)</f>
        <v>112.5</v>
      </c>
      <c r="E78" s="23" t="n">
        <f aca="false">SUMIFS('Loss time 14-10'!$Q$3:$Q$40,'Loss time 14-10'!$H$3:$H$40,$A78,'Loss time 14-10'!$G$3:$G$40,E$76)</f>
        <v>75</v>
      </c>
      <c r="F78" s="23" t="n">
        <f aca="false">SUMIFS('Loss time 14-10'!$Q$3:$Q$40,'Loss time 14-10'!$H$3:$H$40,$A78,'Loss time 14-10'!$G$3:$G$40,F$76)</f>
        <v>25</v>
      </c>
      <c r="G78" s="23" t="n">
        <f aca="false">SUMIFS('Loss time 14-10'!$Q$3:$Q$40,'Loss time 14-10'!$H$3:$H$40,$A78,'Loss time 14-10'!$G$3:$G$40,G$76)</f>
        <v>0</v>
      </c>
      <c r="H78" s="23" t="n">
        <f aca="false">SUMIFS('Loss time 14-10'!$Q$3:$Q$40,'Loss time 14-10'!$H$3:$H$40,$A78,'Loss time 14-10'!$G$3:$G$40,H$76)</f>
        <v>0</v>
      </c>
      <c r="I78" s="23" t="n">
        <f aca="false">SUMIFS('Loss time 14-10'!$Q$3:$Q$40,'Loss time 14-10'!$H$3:$H$40,$A78,'Loss time 14-10'!$G$3:$G$40,I$76)</f>
        <v>0</v>
      </c>
      <c r="J78" s="24" t="n">
        <f aca="false">SUM(C78:I78)</f>
        <v>225</v>
      </c>
    </row>
    <row r="79" customFormat="false" ht="15" hidden="false" customHeight="false" outlineLevel="0" collapsed="false">
      <c r="A79" s="22" t="s">
        <v>48</v>
      </c>
      <c r="B79" s="22" t="s">
        <v>49</v>
      </c>
      <c r="C79" s="23" t="n">
        <f aca="false">SUMIFS('Loss time 14-10'!$Q$3:$Q$40,'Loss time 14-10'!$H$3:$H$40,$A79,'Loss time 14-10'!$G$3:$G$40,C$76)</f>
        <v>0</v>
      </c>
      <c r="D79" s="23" t="n">
        <f aca="false">SUMIFS('Loss time 14-10'!$Q$3:$Q$40,'Loss time 14-10'!$H$3:$H$40,$A79,'Loss time 14-10'!$G$3:$G$40,D$76)</f>
        <v>0</v>
      </c>
      <c r="E79" s="23" t="n">
        <f aca="false">SUMIFS('Loss time 14-10'!$Q$3:$Q$40,'Loss time 14-10'!$H$3:$H$40,$A79,'Loss time 14-10'!$G$3:$G$40,E$76)</f>
        <v>0</v>
      </c>
      <c r="F79" s="23" t="n">
        <f aca="false">SUMIFS('Loss time 14-10'!$Q$3:$Q$40,'Loss time 14-10'!$H$3:$H$40,$A79,'Loss time 14-10'!$G$3:$G$40,F$76)</f>
        <v>8</v>
      </c>
      <c r="G79" s="23" t="n">
        <f aca="false">SUMIFS('Loss time 14-10'!$Q$3:$Q$40,'Loss time 14-10'!$H$3:$H$40,$A79,'Loss time 14-10'!$G$3:$G$40,G$76)</f>
        <v>0</v>
      </c>
      <c r="H79" s="23" t="n">
        <f aca="false">SUMIFS('Loss time 14-10'!$Q$3:$Q$40,'Loss time 14-10'!$H$3:$H$40,$A79,'Loss time 14-10'!$G$3:$G$40,H$76)</f>
        <v>0</v>
      </c>
      <c r="I79" s="23" t="n">
        <f aca="false">SUMIFS('Loss time 14-10'!$Q$3:$Q$40,'Loss time 14-10'!$H$3:$H$40,$A79,'Loss time 14-10'!$G$3:$G$40,I$76)</f>
        <v>0</v>
      </c>
      <c r="J79" s="24" t="n">
        <f aca="false">SUM(C79:I79)</f>
        <v>8</v>
      </c>
    </row>
    <row r="80" customFormat="false" ht="15" hidden="false" customHeight="false" outlineLevel="0" collapsed="false">
      <c r="A80" s="22" t="s">
        <v>52</v>
      </c>
      <c r="B80" s="22" t="s">
        <v>53</v>
      </c>
      <c r="C80" s="23" t="n">
        <f aca="false">SUMIFS('Loss time 14-10'!$Q$3:$Q$40,'Loss time 14-10'!$H$3:$H$40,$A80,'Loss time 14-10'!$G$3:$G$40,C$76)</f>
        <v>0</v>
      </c>
      <c r="D80" s="23" t="n">
        <f aca="false">SUMIFS('Loss time 14-10'!$Q$3:$Q$40,'Loss time 14-10'!$H$3:$H$40,$A80,'Loss time 14-10'!$G$3:$G$40,D$76)</f>
        <v>0</v>
      </c>
      <c r="E80" s="23" t="n">
        <f aca="false">SUMIFS('Loss time 14-10'!$Q$3:$Q$40,'Loss time 14-10'!$H$3:$H$40,$A80,'Loss time 14-10'!$G$3:$G$40,E$76)</f>
        <v>31.5</v>
      </c>
      <c r="F80" s="23" t="n">
        <f aca="false">SUMIFS('Loss time 14-10'!$Q$3:$Q$40,'Loss time 14-10'!$H$3:$H$40,$A80,'Loss time 14-10'!$G$3:$G$40,F$76)</f>
        <v>130.5</v>
      </c>
      <c r="G80" s="23" t="n">
        <f aca="false">SUMIFS('Loss time 14-10'!$Q$3:$Q$40,'Loss time 14-10'!$H$3:$H$40,$A80,'Loss time 14-10'!$G$3:$G$40,G$76)</f>
        <v>0</v>
      </c>
      <c r="H80" s="23" t="n">
        <f aca="false">SUMIFS('Loss time 14-10'!$Q$3:$Q$40,'Loss time 14-10'!$H$3:$H$40,$A80,'Loss time 14-10'!$G$3:$G$40,H$76)</f>
        <v>81</v>
      </c>
      <c r="I80" s="23" t="n">
        <f aca="false">SUMIFS('Loss time 14-10'!$Q$3:$Q$40,'Loss time 14-10'!$H$3:$H$40,$A80,'Loss time 14-10'!$G$3:$G$40,I$76)</f>
        <v>0</v>
      </c>
      <c r="J80" s="24" t="n">
        <f aca="false">SUM(C80:I80)</f>
        <v>243</v>
      </c>
    </row>
    <row r="81" customFormat="false" ht="15" hidden="false" customHeight="false" outlineLevel="0" collapsed="false">
      <c r="A81" s="25" t="s">
        <v>75</v>
      </c>
      <c r="B81" s="25"/>
      <c r="C81" s="24" t="n">
        <f aca="false">SUM(C77:C80)</f>
        <v>16</v>
      </c>
      <c r="D81" s="24" t="n">
        <f aca="false">SUM(D77:D80)</f>
        <v>121.5</v>
      </c>
      <c r="E81" s="24" t="n">
        <f aca="false">SUM(E77:E80)</f>
        <v>116</v>
      </c>
      <c r="F81" s="24" t="n">
        <f aca="false">SUM(F77:F80)</f>
        <v>188.5</v>
      </c>
      <c r="G81" s="24" t="n">
        <f aca="false">SUM(G77:G80)</f>
        <v>0</v>
      </c>
      <c r="H81" s="24" t="n">
        <f aca="false">SUM(H77:H80)</f>
        <v>81</v>
      </c>
      <c r="I81" s="24" t="n">
        <f aca="false">SUM(I77:I80)</f>
        <v>0</v>
      </c>
      <c r="J81" s="24" t="n">
        <f aca="false">SUM(J77:J80)</f>
        <v>523</v>
      </c>
    </row>
    <row r="84" customFormat="false" ht="15" hidden="false" customHeight="false" outlineLevel="0" collapsed="false">
      <c r="A84" s="18" t="s">
        <v>357</v>
      </c>
    </row>
    <row r="85" customFormat="false" ht="25.35" hidden="false" customHeight="false" outlineLevel="0" collapsed="false">
      <c r="A85" s="2" t="s">
        <v>8</v>
      </c>
      <c r="B85" s="2" t="s">
        <v>347</v>
      </c>
      <c r="C85" s="2" t="s">
        <v>18</v>
      </c>
      <c r="D85" s="2" t="s">
        <v>23</v>
      </c>
      <c r="E85" s="2" t="s">
        <v>25</v>
      </c>
      <c r="F85" s="2" t="s">
        <v>28</v>
      </c>
      <c r="G85" s="2" t="s">
        <v>68</v>
      </c>
      <c r="H85" s="2" t="s">
        <v>72</v>
      </c>
      <c r="I85" s="2" t="s">
        <v>348</v>
      </c>
      <c r="J85" s="2" t="s">
        <v>75</v>
      </c>
    </row>
    <row r="86" customFormat="false" ht="15" hidden="false" customHeight="false" outlineLevel="0" collapsed="false">
      <c r="A86" s="22" t="s">
        <v>19</v>
      </c>
      <c r="B86" s="22" t="s">
        <v>20</v>
      </c>
      <c r="C86" s="23" t="n">
        <f aca="false">SUMIFS('Loss time 15-10'!$Q$3:$Q$39,'Loss time 15-10'!$H$3:$H$39,$A86,'Loss time 15-10'!$G$3:$G$39,C$85)</f>
        <v>3.5</v>
      </c>
      <c r="D86" s="23" t="n">
        <f aca="false">SUMIFS('Loss time 15-10'!$Q$3:$Q$39,'Loss time 15-10'!$H$3:$H$39,$A86,'Loss time 15-10'!$G$3:$G$39,D$85)</f>
        <v>9</v>
      </c>
      <c r="E86" s="23" t="n">
        <f aca="false">SUMIFS('Loss time 15-10'!$Q$3:$Q$39,'Loss time 15-10'!$H$3:$H$39,$A86,'Loss time 15-10'!$G$3:$G$39,E$85)</f>
        <v>9.5</v>
      </c>
      <c r="F86" s="23" t="n">
        <f aca="false">SUMIFS('Loss time 15-10'!$Q$3:$Q$39,'Loss time 15-10'!$H$3:$H$39,$A86,'Loss time 15-10'!$G$3:$G$39,F$85)</f>
        <v>25</v>
      </c>
      <c r="G86" s="23" t="n">
        <f aca="false">SUMIFS('Loss time 15-10'!$Q$3:$Q$39,'Loss time 15-10'!$H$3:$H$39,$A86,'Loss time 15-10'!$G$3:$G$39,G$85)</f>
        <v>0</v>
      </c>
      <c r="H86" s="23" t="n">
        <f aca="false">SUMIFS('Loss time 15-10'!$Q$3:$Q$39,'Loss time 15-10'!$H$3:$H$39,$A86,'Loss time 15-10'!$G$3:$G$39,H$85)</f>
        <v>0</v>
      </c>
      <c r="I86" s="23" t="n">
        <f aca="false">SUMIFS('Loss time 15-10'!$Q$3:$Q$39,'Loss time 15-10'!$H$3:$H$39,$A86,'Loss time 15-10'!$G$3:$G$39,I$85)</f>
        <v>0</v>
      </c>
      <c r="J86" s="24" t="n">
        <f aca="false">SUM(C86:I86)</f>
        <v>47</v>
      </c>
    </row>
    <row r="87" customFormat="false" ht="15" hidden="false" customHeight="false" outlineLevel="0" collapsed="false">
      <c r="A87" s="22" t="s">
        <v>30</v>
      </c>
      <c r="B87" s="22" t="s">
        <v>31</v>
      </c>
      <c r="C87" s="23" t="n">
        <f aca="false">SUMIFS('Loss time 15-10'!$Q$3:$Q$39,'Loss time 15-10'!$H$3:$H$39,$A87,'Loss time 15-10'!$G$3:$G$39,C$85)</f>
        <v>12.5</v>
      </c>
      <c r="D87" s="23" t="n">
        <f aca="false">SUMIFS('Loss time 15-10'!$Q$3:$Q$39,'Loss time 15-10'!$H$3:$H$39,$A87,'Loss time 15-10'!$G$3:$G$39,D$85)</f>
        <v>112.5</v>
      </c>
      <c r="E87" s="23" t="n">
        <f aca="false">SUMIFS('Loss time 15-10'!$Q$3:$Q$39,'Loss time 15-10'!$H$3:$H$39,$A87,'Loss time 15-10'!$G$3:$G$39,E$85)</f>
        <v>75</v>
      </c>
      <c r="F87" s="23" t="n">
        <f aca="false">SUMIFS('Loss time 15-10'!$Q$3:$Q$39,'Loss time 15-10'!$H$3:$H$39,$A87,'Loss time 15-10'!$G$3:$G$39,F$85)</f>
        <v>25</v>
      </c>
      <c r="G87" s="23" t="n">
        <f aca="false">SUMIFS('Loss time 15-10'!$Q$3:$Q$39,'Loss time 15-10'!$H$3:$H$39,$A87,'Loss time 15-10'!$G$3:$G$39,G$85)</f>
        <v>0</v>
      </c>
      <c r="H87" s="23" t="n">
        <f aca="false">SUMIFS('Loss time 15-10'!$Q$3:$Q$39,'Loss time 15-10'!$H$3:$H$39,$A87,'Loss time 15-10'!$G$3:$G$39,H$85)</f>
        <v>0</v>
      </c>
      <c r="I87" s="23" t="n">
        <f aca="false">SUMIFS('Loss time 15-10'!$Q$3:$Q$39,'Loss time 15-10'!$H$3:$H$39,$A87,'Loss time 15-10'!$G$3:$G$39,I$85)</f>
        <v>0</v>
      </c>
      <c r="J87" s="24" t="n">
        <f aca="false">SUM(C87:I87)</f>
        <v>225</v>
      </c>
    </row>
    <row r="88" customFormat="false" ht="15" hidden="false" customHeight="false" outlineLevel="0" collapsed="false">
      <c r="A88" s="22" t="s">
        <v>48</v>
      </c>
      <c r="B88" s="22" t="s">
        <v>49</v>
      </c>
      <c r="C88" s="23" t="n">
        <f aca="false">SUMIFS('Loss time 15-10'!$Q$3:$Q$39,'Loss time 15-10'!$H$3:$H$39,$A88,'Loss time 15-10'!$G$3:$G$39,C$85)</f>
        <v>0</v>
      </c>
      <c r="D88" s="23" t="n">
        <f aca="false">SUMIFS('Loss time 15-10'!$Q$3:$Q$39,'Loss time 15-10'!$H$3:$H$39,$A88,'Loss time 15-10'!$G$3:$G$39,D$85)</f>
        <v>0</v>
      </c>
      <c r="E88" s="23" t="n">
        <f aca="false">SUMIFS('Loss time 15-10'!$Q$3:$Q$39,'Loss time 15-10'!$H$3:$H$39,$A88,'Loss time 15-10'!$G$3:$G$39,E$85)</f>
        <v>0</v>
      </c>
      <c r="F88" s="23" t="n">
        <f aca="false">SUMIFS('Loss time 15-10'!$Q$3:$Q$39,'Loss time 15-10'!$H$3:$H$39,$A88,'Loss time 15-10'!$G$3:$G$39,F$85)</f>
        <v>32</v>
      </c>
      <c r="G88" s="23" t="n">
        <f aca="false">SUMIFS('Loss time 15-10'!$Q$3:$Q$39,'Loss time 15-10'!$H$3:$H$39,$A88,'Loss time 15-10'!$G$3:$G$39,G$85)</f>
        <v>0</v>
      </c>
      <c r="H88" s="23" t="n">
        <f aca="false">SUMIFS('Loss time 15-10'!$Q$3:$Q$39,'Loss time 15-10'!$H$3:$H$39,$A88,'Loss time 15-10'!$G$3:$G$39,H$85)</f>
        <v>0</v>
      </c>
      <c r="I88" s="23" t="n">
        <f aca="false">SUMIFS('Loss time 15-10'!$Q$3:$Q$39,'Loss time 15-10'!$H$3:$H$39,$A88,'Loss time 15-10'!$G$3:$G$39,I$85)</f>
        <v>0</v>
      </c>
      <c r="J88" s="24" t="n">
        <f aca="false">SUM(C88:I88)</f>
        <v>32</v>
      </c>
    </row>
    <row r="89" customFormat="false" ht="15" hidden="false" customHeight="false" outlineLevel="0" collapsed="false">
      <c r="A89" s="22" t="s">
        <v>52</v>
      </c>
      <c r="B89" s="22" t="s">
        <v>53</v>
      </c>
      <c r="C89" s="23" t="n">
        <f aca="false">SUMIFS('Loss time 15-10'!$Q$3:$Q$39,'Loss time 15-10'!$H$3:$H$39,$A89,'Loss time 15-10'!$G$3:$G$39,C$85)</f>
        <v>0</v>
      </c>
      <c r="D89" s="23" t="n">
        <f aca="false">SUMIFS('Loss time 15-10'!$Q$3:$Q$39,'Loss time 15-10'!$H$3:$H$39,$A89,'Loss time 15-10'!$G$3:$G$39,D$85)</f>
        <v>0</v>
      </c>
      <c r="E89" s="23" t="n">
        <f aca="false">SUMIFS('Loss time 15-10'!$Q$3:$Q$39,'Loss time 15-10'!$H$3:$H$39,$A89,'Loss time 15-10'!$G$3:$G$39,E$85)</f>
        <v>31.5</v>
      </c>
      <c r="F89" s="23" t="n">
        <f aca="false">SUMIFS('Loss time 15-10'!$Q$3:$Q$39,'Loss time 15-10'!$H$3:$H$39,$A89,'Loss time 15-10'!$G$3:$G$39,F$85)</f>
        <v>135</v>
      </c>
      <c r="G89" s="23" t="n">
        <f aca="false">SUMIFS('Loss time 15-10'!$Q$3:$Q$39,'Loss time 15-10'!$H$3:$H$39,$A89,'Loss time 15-10'!$G$3:$G$39,G$85)</f>
        <v>0</v>
      </c>
      <c r="H89" s="23" t="n">
        <f aca="false">SUMIFS('Loss time 15-10'!$Q$3:$Q$39,'Loss time 15-10'!$H$3:$H$39,$A89,'Loss time 15-10'!$G$3:$G$39,H$85)</f>
        <v>63</v>
      </c>
      <c r="I89" s="23" t="n">
        <f aca="false">SUMIFS('Loss time 15-10'!$Q$3:$Q$39,'Loss time 15-10'!$H$3:$H$39,$A89,'Loss time 15-10'!$G$3:$G$39,I$85)</f>
        <v>0</v>
      </c>
      <c r="J89" s="24" t="n">
        <f aca="false">SUM(C89:I89)</f>
        <v>229.5</v>
      </c>
    </row>
    <row r="90" customFormat="false" ht="15" hidden="false" customHeight="false" outlineLevel="0" collapsed="false">
      <c r="A90" s="25" t="s">
        <v>75</v>
      </c>
      <c r="B90" s="25"/>
      <c r="C90" s="24" t="n">
        <f aca="false">SUM(C86:C89)</f>
        <v>16</v>
      </c>
      <c r="D90" s="24" t="n">
        <f aca="false">SUM(D86:D89)</f>
        <v>121.5</v>
      </c>
      <c r="E90" s="24" t="n">
        <f aca="false">SUM(E86:E89)</f>
        <v>116</v>
      </c>
      <c r="F90" s="24" t="n">
        <f aca="false">SUM(F86:F89)</f>
        <v>217</v>
      </c>
      <c r="G90" s="24" t="n">
        <f aca="false">SUM(G86:G89)</f>
        <v>0</v>
      </c>
      <c r="H90" s="24" t="n">
        <f aca="false">SUM(H86:H89)</f>
        <v>63</v>
      </c>
      <c r="I90" s="24" t="n">
        <f aca="false">SUM(I86:I89)</f>
        <v>0</v>
      </c>
      <c r="J90" s="24" t="n">
        <f aca="false">SUM(J86:J89)</f>
        <v>533.5</v>
      </c>
    </row>
    <row r="93" customFormat="false" ht="15" hidden="false" customHeight="false" outlineLevel="0" collapsed="false">
      <c r="A93" s="18" t="s">
        <v>358</v>
      </c>
    </row>
    <row r="94" customFormat="false" ht="25.35" hidden="false" customHeight="false" outlineLevel="0" collapsed="false">
      <c r="A94" s="2" t="s">
        <v>8</v>
      </c>
      <c r="B94" s="2" t="s">
        <v>347</v>
      </c>
      <c r="C94" s="2" t="s">
        <v>18</v>
      </c>
      <c r="D94" s="2" t="s">
        <v>23</v>
      </c>
      <c r="E94" s="2" t="s">
        <v>25</v>
      </c>
      <c r="F94" s="2" t="s">
        <v>28</v>
      </c>
      <c r="G94" s="2" t="s">
        <v>68</v>
      </c>
      <c r="H94" s="2" t="s">
        <v>72</v>
      </c>
      <c r="I94" s="2" t="s">
        <v>348</v>
      </c>
      <c r="J94" s="2" t="s">
        <v>75</v>
      </c>
    </row>
    <row r="95" customFormat="false" ht="15" hidden="false" customHeight="false" outlineLevel="0" collapsed="false">
      <c r="A95" s="22" t="s">
        <v>19</v>
      </c>
      <c r="B95" s="22" t="s">
        <v>20</v>
      </c>
      <c r="C95" s="23" t="n">
        <f aca="false">SUMIFS('Loss time 16-10'!$Q$3:$Q$40,'Loss time 16-10'!$H$3:$H$40,$A95,'Loss time 16-10'!$G$3:$G$40,C$94)</f>
        <v>3.5</v>
      </c>
      <c r="D95" s="23" t="n">
        <f aca="false">SUMIFS('Loss time 16-10'!$Q$3:$Q$40,'Loss time 16-10'!$H$3:$H$40,$A95,'Loss time 16-10'!$G$3:$G$40,D$94)</f>
        <v>9</v>
      </c>
      <c r="E95" s="23" t="n">
        <f aca="false">SUMIFS('Loss time 16-10'!$Q$3:$Q$40,'Loss time 16-10'!$H$3:$H$40,$A95,'Loss time 16-10'!$G$3:$G$40,E$94)</f>
        <v>9.5</v>
      </c>
      <c r="F95" s="23" t="n">
        <f aca="false">SUMIFS('Loss time 16-10'!$Q$3:$Q$40,'Loss time 16-10'!$H$3:$H$40,$A95,'Loss time 16-10'!$G$3:$G$40,F$94)</f>
        <v>25</v>
      </c>
      <c r="G95" s="23" t="n">
        <f aca="false">SUMIFS('Loss time 16-10'!$Q$3:$Q$40,'Loss time 16-10'!$H$3:$H$40,$A95,'Loss time 16-10'!$G$3:$G$40,G$94)</f>
        <v>0</v>
      </c>
      <c r="H95" s="23" t="n">
        <f aca="false">SUMIFS('Loss time 16-10'!$Q$3:$Q$40,'Loss time 16-10'!$H$3:$H$40,$A95,'Loss time 16-10'!$G$3:$G$40,H$94)</f>
        <v>0</v>
      </c>
      <c r="I95" s="23" t="n">
        <f aca="false">SUMIFS('Loss time 16-10'!$Q$3:$Q$40,'Loss time 16-10'!$H$3:$H$40,$A95,'Loss time 16-10'!$G$3:$G$40,I$94)</f>
        <v>0</v>
      </c>
      <c r="J95" s="24" t="n">
        <f aca="false">SUM(C95:I95)</f>
        <v>47</v>
      </c>
    </row>
    <row r="96" customFormat="false" ht="15" hidden="false" customHeight="false" outlineLevel="0" collapsed="false">
      <c r="A96" s="22" t="s">
        <v>30</v>
      </c>
      <c r="B96" s="22" t="s">
        <v>31</v>
      </c>
      <c r="C96" s="23" t="n">
        <f aca="false">SUMIFS('Loss time 16-10'!$Q$3:$Q$40,'Loss time 16-10'!$H$3:$H$40,$A96,'Loss time 16-10'!$G$3:$G$40,C$94)</f>
        <v>12.5</v>
      </c>
      <c r="D96" s="23" t="n">
        <f aca="false">SUMIFS('Loss time 16-10'!$Q$3:$Q$40,'Loss time 16-10'!$H$3:$H$40,$A96,'Loss time 16-10'!$G$3:$G$40,D$94)</f>
        <v>112.5</v>
      </c>
      <c r="E96" s="23" t="n">
        <f aca="false">SUMIFS('Loss time 16-10'!$Q$3:$Q$40,'Loss time 16-10'!$H$3:$H$40,$A96,'Loss time 16-10'!$G$3:$G$40,E$94)</f>
        <v>75</v>
      </c>
      <c r="F96" s="23" t="n">
        <f aca="false">SUMIFS('Loss time 16-10'!$Q$3:$Q$40,'Loss time 16-10'!$H$3:$H$40,$A96,'Loss time 16-10'!$G$3:$G$40,F$94)</f>
        <v>25</v>
      </c>
      <c r="G96" s="23" t="n">
        <f aca="false">SUMIFS('Loss time 16-10'!$Q$3:$Q$40,'Loss time 16-10'!$H$3:$H$40,$A96,'Loss time 16-10'!$G$3:$G$40,G$94)</f>
        <v>0</v>
      </c>
      <c r="H96" s="23" t="n">
        <f aca="false">SUMIFS('Loss time 16-10'!$Q$3:$Q$40,'Loss time 16-10'!$H$3:$H$40,$A96,'Loss time 16-10'!$G$3:$G$40,H$94)</f>
        <v>0</v>
      </c>
      <c r="I96" s="23" t="n">
        <f aca="false">SUMIFS('Loss time 16-10'!$Q$3:$Q$40,'Loss time 16-10'!$H$3:$H$40,$A96,'Loss time 16-10'!$G$3:$G$40,I$94)</f>
        <v>0</v>
      </c>
      <c r="J96" s="24" t="n">
        <f aca="false">SUM(C96:I96)</f>
        <v>225</v>
      </c>
    </row>
    <row r="97" customFormat="false" ht="15" hidden="false" customHeight="false" outlineLevel="0" collapsed="false">
      <c r="A97" s="22" t="s">
        <v>48</v>
      </c>
      <c r="B97" s="22" t="s">
        <v>49</v>
      </c>
      <c r="C97" s="23" t="n">
        <f aca="false">SUMIFS('Loss time 16-10'!$Q$3:$Q$40,'Loss time 16-10'!$H$3:$H$40,$A97,'Loss time 16-10'!$G$3:$G$40,C$94)</f>
        <v>0</v>
      </c>
      <c r="D97" s="23" t="n">
        <f aca="false">SUMIFS('Loss time 16-10'!$Q$3:$Q$40,'Loss time 16-10'!$H$3:$H$40,$A97,'Loss time 16-10'!$G$3:$G$40,D$94)</f>
        <v>0</v>
      </c>
      <c r="E97" s="23" t="n">
        <f aca="false">SUMIFS('Loss time 16-10'!$Q$3:$Q$40,'Loss time 16-10'!$H$3:$H$40,$A97,'Loss time 16-10'!$G$3:$G$40,E$94)</f>
        <v>0</v>
      </c>
      <c r="F97" s="23" t="n">
        <f aca="false">SUMIFS('Loss time 16-10'!$Q$3:$Q$40,'Loss time 16-10'!$H$3:$H$40,$A97,'Loss time 16-10'!$G$3:$G$40,F$94)</f>
        <v>8</v>
      </c>
      <c r="G97" s="23" t="n">
        <f aca="false">SUMIFS('Loss time 16-10'!$Q$3:$Q$40,'Loss time 16-10'!$H$3:$H$40,$A97,'Loss time 16-10'!$G$3:$G$40,G$94)</f>
        <v>0</v>
      </c>
      <c r="H97" s="23" t="n">
        <f aca="false">SUMIFS('Loss time 16-10'!$Q$3:$Q$40,'Loss time 16-10'!$H$3:$H$40,$A97,'Loss time 16-10'!$G$3:$G$40,H$94)</f>
        <v>0</v>
      </c>
      <c r="I97" s="23" t="n">
        <f aca="false">SUMIFS('Loss time 16-10'!$Q$3:$Q$40,'Loss time 16-10'!$H$3:$H$40,$A97,'Loss time 16-10'!$G$3:$G$40,I$94)</f>
        <v>0</v>
      </c>
      <c r="J97" s="24" t="n">
        <f aca="false">SUM(C97:I97)</f>
        <v>8</v>
      </c>
    </row>
    <row r="98" customFormat="false" ht="15" hidden="false" customHeight="false" outlineLevel="0" collapsed="false">
      <c r="A98" s="22" t="s">
        <v>52</v>
      </c>
      <c r="B98" s="22" t="s">
        <v>53</v>
      </c>
      <c r="C98" s="23" t="n">
        <f aca="false">SUMIFS('Loss time 16-10'!$Q$3:$Q$40,'Loss time 16-10'!$H$3:$H$40,$A98,'Loss time 16-10'!$G$3:$G$40,C$94)</f>
        <v>0</v>
      </c>
      <c r="D98" s="23" t="n">
        <f aca="false">SUMIFS('Loss time 16-10'!$Q$3:$Q$40,'Loss time 16-10'!$H$3:$H$40,$A98,'Loss time 16-10'!$G$3:$G$40,D$94)</f>
        <v>0</v>
      </c>
      <c r="E98" s="23" t="n">
        <f aca="false">SUMIFS('Loss time 16-10'!$Q$3:$Q$40,'Loss time 16-10'!$H$3:$H$40,$A98,'Loss time 16-10'!$G$3:$G$40,E$94)</f>
        <v>31.5</v>
      </c>
      <c r="F98" s="23" t="n">
        <f aca="false">SUMIFS('Loss time 16-10'!$Q$3:$Q$40,'Loss time 16-10'!$H$3:$H$40,$A98,'Loss time 16-10'!$G$3:$G$40,F$94)</f>
        <v>153</v>
      </c>
      <c r="G98" s="23" t="n">
        <f aca="false">SUMIFS('Loss time 16-10'!$Q$3:$Q$40,'Loss time 16-10'!$H$3:$H$40,$A98,'Loss time 16-10'!$G$3:$G$40,G$94)</f>
        <v>0</v>
      </c>
      <c r="H98" s="23" t="n">
        <f aca="false">SUMIFS('Loss time 16-10'!$Q$3:$Q$40,'Loss time 16-10'!$H$3:$H$40,$A98,'Loss time 16-10'!$G$3:$G$40,H$94)</f>
        <v>63</v>
      </c>
      <c r="I98" s="23" t="n">
        <f aca="false">SUMIFS('Loss time 16-10'!$Q$3:$Q$40,'Loss time 16-10'!$H$3:$H$40,$A98,'Loss time 16-10'!$G$3:$G$40,I$94)</f>
        <v>0</v>
      </c>
      <c r="J98" s="24" t="n">
        <f aca="false">SUM(C98:I98)</f>
        <v>247.5</v>
      </c>
    </row>
    <row r="99" customFormat="false" ht="15" hidden="false" customHeight="false" outlineLevel="0" collapsed="false">
      <c r="A99" s="25" t="s">
        <v>75</v>
      </c>
      <c r="B99" s="25"/>
      <c r="C99" s="24" t="n">
        <f aca="false">SUM(C95:C98)</f>
        <v>16</v>
      </c>
      <c r="D99" s="24" t="n">
        <f aca="false">SUM(D95:D98)</f>
        <v>121.5</v>
      </c>
      <c r="E99" s="24" t="n">
        <f aca="false">SUM(E95:E98)</f>
        <v>116</v>
      </c>
      <c r="F99" s="24" t="n">
        <f aca="false">SUM(F95:F98)</f>
        <v>211</v>
      </c>
      <c r="G99" s="24" t="n">
        <f aca="false">SUM(G95:G98)</f>
        <v>0</v>
      </c>
      <c r="H99" s="24" t="n">
        <f aca="false">SUM(H95:H98)</f>
        <v>63</v>
      </c>
      <c r="I99" s="24" t="n">
        <f aca="false">SUM(I95:I98)</f>
        <v>0</v>
      </c>
      <c r="J99" s="24" t="n">
        <f aca="false">SUM(J95:J98)</f>
        <v>527.5</v>
      </c>
    </row>
    <row r="102" customFormat="false" ht="15" hidden="false" customHeight="false" outlineLevel="0" collapsed="false">
      <c r="A102" s="18" t="s">
        <v>359</v>
      </c>
    </row>
    <row r="103" customFormat="false" ht="25.35" hidden="false" customHeight="false" outlineLevel="0" collapsed="false">
      <c r="A103" s="2" t="s">
        <v>8</v>
      </c>
      <c r="B103" s="2" t="s">
        <v>347</v>
      </c>
      <c r="C103" s="2" t="s">
        <v>18</v>
      </c>
      <c r="D103" s="2" t="s">
        <v>23</v>
      </c>
      <c r="E103" s="2" t="s">
        <v>25</v>
      </c>
      <c r="F103" s="2" t="s">
        <v>28</v>
      </c>
      <c r="G103" s="2" t="s">
        <v>68</v>
      </c>
      <c r="H103" s="2" t="s">
        <v>72</v>
      </c>
      <c r="I103" s="2" t="s">
        <v>348</v>
      </c>
      <c r="J103" s="2" t="s">
        <v>75</v>
      </c>
    </row>
    <row r="104" customFormat="false" ht="15" hidden="false" customHeight="false" outlineLevel="0" collapsed="false">
      <c r="A104" s="22" t="s">
        <v>19</v>
      </c>
      <c r="B104" s="22" t="s">
        <v>20</v>
      </c>
      <c r="C104" s="23" t="n">
        <f aca="false">SUMIFS('Loss time 17-10'!$Q$3:$Q$40,'Loss time 17-10'!$H$3:$H$40,$A104,'Loss time 17-10'!$G$3:$G$40,C$103)</f>
        <v>3.5</v>
      </c>
      <c r="D104" s="23" t="n">
        <f aca="false">SUMIFS('Loss time 17-10'!$Q$3:$Q$40,'Loss time 17-10'!$H$3:$H$40,$A104,'Loss time 17-10'!$G$3:$G$40,D$103)</f>
        <v>9</v>
      </c>
      <c r="E104" s="23" t="n">
        <f aca="false">SUMIFS('Loss time 17-10'!$Q$3:$Q$40,'Loss time 17-10'!$H$3:$H$40,$A104,'Loss time 17-10'!$G$3:$G$40,E$103)</f>
        <v>9.5</v>
      </c>
      <c r="F104" s="23" t="n">
        <f aca="false">SUMIFS('Loss time 17-10'!$Q$3:$Q$40,'Loss time 17-10'!$H$3:$H$40,$A104,'Loss time 17-10'!$G$3:$G$40,F$103)</f>
        <v>16</v>
      </c>
      <c r="G104" s="23" t="n">
        <f aca="false">SUMIFS('Loss time 17-10'!$Q$3:$Q$40,'Loss time 17-10'!$H$3:$H$40,$A104,'Loss time 17-10'!$G$3:$G$40,G$103)</f>
        <v>0</v>
      </c>
      <c r="H104" s="23" t="n">
        <f aca="false">SUMIFS('Loss time 17-10'!$Q$3:$Q$40,'Loss time 17-10'!$H$3:$H$40,$A104,'Loss time 17-10'!$G$3:$G$40,H$103)</f>
        <v>0</v>
      </c>
      <c r="I104" s="23" t="n">
        <f aca="false">SUMIFS('Loss time 17-10'!$Q$3:$Q$40,'Loss time 17-10'!$H$3:$H$40,$A104,'Loss time 17-10'!$G$3:$G$40,I$103)</f>
        <v>0</v>
      </c>
      <c r="J104" s="24" t="n">
        <f aca="false">SUM(C104:I104)</f>
        <v>38</v>
      </c>
    </row>
    <row r="105" customFormat="false" ht="15" hidden="false" customHeight="false" outlineLevel="0" collapsed="false">
      <c r="A105" s="22" t="s">
        <v>30</v>
      </c>
      <c r="B105" s="22" t="s">
        <v>31</v>
      </c>
      <c r="C105" s="23" t="n">
        <f aca="false">SUMIFS('Loss time 17-10'!$Q$3:$Q$40,'Loss time 17-10'!$H$3:$H$40,$A105,'Loss time 17-10'!$G$3:$G$40,C$103)</f>
        <v>8</v>
      </c>
      <c r="D105" s="23" t="n">
        <f aca="false">SUMIFS('Loss time 17-10'!$Q$3:$Q$40,'Loss time 17-10'!$H$3:$H$40,$A105,'Loss time 17-10'!$G$3:$G$40,D$103)</f>
        <v>72</v>
      </c>
      <c r="E105" s="23" t="n">
        <f aca="false">SUMIFS('Loss time 17-10'!$Q$3:$Q$40,'Loss time 17-10'!$H$3:$H$40,$A105,'Loss time 17-10'!$G$3:$G$40,E$103)</f>
        <v>48</v>
      </c>
      <c r="F105" s="23" t="n">
        <f aca="false">SUMIFS('Loss time 17-10'!$Q$3:$Q$40,'Loss time 17-10'!$H$3:$H$40,$A105,'Loss time 17-10'!$G$3:$G$40,F$103)</f>
        <v>16</v>
      </c>
      <c r="G105" s="23" t="n">
        <f aca="false">SUMIFS('Loss time 17-10'!$Q$3:$Q$40,'Loss time 17-10'!$H$3:$H$40,$A105,'Loss time 17-10'!$G$3:$G$40,G$103)</f>
        <v>0</v>
      </c>
      <c r="H105" s="23" t="n">
        <f aca="false">SUMIFS('Loss time 17-10'!$Q$3:$Q$40,'Loss time 17-10'!$H$3:$H$40,$A105,'Loss time 17-10'!$G$3:$G$40,H$103)</f>
        <v>0</v>
      </c>
      <c r="I105" s="23" t="n">
        <f aca="false">SUMIFS('Loss time 17-10'!$Q$3:$Q$40,'Loss time 17-10'!$H$3:$H$40,$A105,'Loss time 17-10'!$G$3:$G$40,I$103)</f>
        <v>0</v>
      </c>
      <c r="J105" s="24" t="n">
        <f aca="false">SUM(C105:I105)</f>
        <v>144</v>
      </c>
    </row>
    <row r="106" customFormat="false" ht="15" hidden="false" customHeight="false" outlineLevel="0" collapsed="false">
      <c r="A106" s="22" t="s">
        <v>48</v>
      </c>
      <c r="B106" s="22" t="s">
        <v>49</v>
      </c>
      <c r="C106" s="23" t="n">
        <f aca="false">SUMIFS('Loss time 17-10'!$Q$3:$Q$40,'Loss time 17-10'!$H$3:$H$40,$A106,'Loss time 17-10'!$G$3:$G$40,C$103)</f>
        <v>0</v>
      </c>
      <c r="D106" s="23" t="n">
        <f aca="false">SUMIFS('Loss time 17-10'!$Q$3:$Q$40,'Loss time 17-10'!$H$3:$H$40,$A106,'Loss time 17-10'!$G$3:$G$40,D$103)</f>
        <v>0</v>
      </c>
      <c r="E106" s="23" t="n">
        <f aca="false">SUMIFS('Loss time 17-10'!$Q$3:$Q$40,'Loss time 17-10'!$H$3:$H$40,$A106,'Loss time 17-10'!$G$3:$G$40,E$103)</f>
        <v>0</v>
      </c>
      <c r="F106" s="23" t="n">
        <f aca="false">SUMIFS('Loss time 17-10'!$Q$3:$Q$40,'Loss time 17-10'!$H$3:$H$40,$A106,'Loss time 17-10'!$G$3:$G$40,F$103)</f>
        <v>0</v>
      </c>
      <c r="G106" s="23" t="n">
        <f aca="false">SUMIFS('Loss time 17-10'!$Q$3:$Q$40,'Loss time 17-10'!$H$3:$H$40,$A106,'Loss time 17-10'!$G$3:$G$40,G$103)</f>
        <v>0</v>
      </c>
      <c r="H106" s="23" t="n">
        <f aca="false">SUMIFS('Loss time 17-10'!$Q$3:$Q$40,'Loss time 17-10'!$H$3:$H$40,$A106,'Loss time 17-10'!$G$3:$G$40,H$103)</f>
        <v>0</v>
      </c>
      <c r="I106" s="23" t="n">
        <f aca="false">SUMIFS('Loss time 17-10'!$Q$3:$Q$40,'Loss time 17-10'!$H$3:$H$40,$A106,'Loss time 17-10'!$G$3:$G$40,I$103)</f>
        <v>0</v>
      </c>
      <c r="J106" s="24" t="n">
        <f aca="false">SUM(C106:I106)</f>
        <v>0</v>
      </c>
    </row>
    <row r="107" customFormat="false" ht="15" hidden="false" customHeight="false" outlineLevel="0" collapsed="false">
      <c r="A107" s="22" t="s">
        <v>52</v>
      </c>
      <c r="B107" s="22" t="s">
        <v>53</v>
      </c>
      <c r="C107" s="23" t="n">
        <f aca="false">SUMIFS('Loss time 17-10'!$Q$3:$Q$40,'Loss time 17-10'!$H$3:$H$40,$A107,'Loss time 17-10'!$G$3:$G$40,C$103)</f>
        <v>0</v>
      </c>
      <c r="D107" s="23" t="n">
        <f aca="false">SUMIFS('Loss time 17-10'!$Q$3:$Q$40,'Loss time 17-10'!$H$3:$H$40,$A107,'Loss time 17-10'!$G$3:$G$40,D$103)</f>
        <v>0</v>
      </c>
      <c r="E107" s="23" t="n">
        <f aca="false">SUMIFS('Loss time 17-10'!$Q$3:$Q$40,'Loss time 17-10'!$H$3:$H$40,$A107,'Loss time 17-10'!$G$3:$G$40,E$103)</f>
        <v>31.5</v>
      </c>
      <c r="F107" s="23" t="n">
        <f aca="false">SUMIFS('Loss time 17-10'!$Q$3:$Q$40,'Loss time 17-10'!$H$3:$H$40,$A107,'Loss time 17-10'!$G$3:$G$40,F$103)</f>
        <v>157.5</v>
      </c>
      <c r="G107" s="23" t="n">
        <f aca="false">SUMIFS('Loss time 17-10'!$Q$3:$Q$40,'Loss time 17-10'!$H$3:$H$40,$A107,'Loss time 17-10'!$G$3:$G$40,G$103)</f>
        <v>0</v>
      </c>
      <c r="H107" s="23" t="n">
        <f aca="false">SUMIFS('Loss time 17-10'!$Q$3:$Q$40,'Loss time 17-10'!$H$3:$H$40,$A107,'Loss time 17-10'!$G$3:$G$40,H$103)</f>
        <v>63</v>
      </c>
      <c r="I107" s="23" t="n">
        <f aca="false">SUMIFS('Loss time 17-10'!$Q$3:$Q$40,'Loss time 17-10'!$H$3:$H$40,$A107,'Loss time 17-10'!$G$3:$G$40,I$103)</f>
        <v>0</v>
      </c>
      <c r="J107" s="24" t="n">
        <f aca="false">SUM(C107:I107)</f>
        <v>252</v>
      </c>
    </row>
    <row r="108" customFormat="false" ht="15" hidden="false" customHeight="false" outlineLevel="0" collapsed="false">
      <c r="A108" s="25" t="s">
        <v>75</v>
      </c>
      <c r="B108" s="25"/>
      <c r="C108" s="24" t="n">
        <f aca="false">SUM(C104:C107)</f>
        <v>11.5</v>
      </c>
      <c r="D108" s="24" t="n">
        <f aca="false">SUM(D104:D107)</f>
        <v>81</v>
      </c>
      <c r="E108" s="24" t="n">
        <f aca="false">SUM(E104:E107)</f>
        <v>89</v>
      </c>
      <c r="F108" s="24" t="n">
        <f aca="false">SUM(F104:F107)</f>
        <v>189.5</v>
      </c>
      <c r="G108" s="24" t="n">
        <f aca="false">SUM(G104:G107)</f>
        <v>0</v>
      </c>
      <c r="H108" s="24" t="n">
        <f aca="false">SUM(H104:H107)</f>
        <v>63</v>
      </c>
      <c r="I108" s="24" t="n">
        <f aca="false">SUM(I104:I107)</f>
        <v>0</v>
      </c>
      <c r="J108" s="24" t="n">
        <f aca="false">SUM(J104:J107)</f>
        <v>434</v>
      </c>
    </row>
    <row r="111" customFormat="false" ht="15" hidden="false" customHeight="false" outlineLevel="0" collapsed="false">
      <c r="A111" s="18" t="s">
        <v>360</v>
      </c>
    </row>
    <row r="112" customFormat="false" ht="25.35" hidden="false" customHeight="false" outlineLevel="0" collapsed="false">
      <c r="A112" s="2" t="s">
        <v>8</v>
      </c>
      <c r="B112" s="2" t="s">
        <v>347</v>
      </c>
      <c r="C112" s="2" t="s">
        <v>18</v>
      </c>
      <c r="D112" s="2" t="s">
        <v>23</v>
      </c>
      <c r="E112" s="2" t="s">
        <v>25</v>
      </c>
      <c r="F112" s="2" t="s">
        <v>28</v>
      </c>
      <c r="G112" s="2" t="s">
        <v>68</v>
      </c>
      <c r="H112" s="2" t="s">
        <v>72</v>
      </c>
      <c r="I112" s="2" t="s">
        <v>348</v>
      </c>
      <c r="J112" s="2" t="s">
        <v>75</v>
      </c>
    </row>
    <row r="113" customFormat="false" ht="15" hidden="false" customHeight="false" outlineLevel="0" collapsed="false">
      <c r="A113" s="22" t="s">
        <v>19</v>
      </c>
      <c r="B113" s="22" t="s">
        <v>20</v>
      </c>
      <c r="C113" s="23" t="n">
        <f aca="false">SUMIFS('Loss time 19-10'!$Q$3:$Q$42,'Loss time 19-10'!$H$3:$H$42,$A113,'Loss time 19-10'!$G$3:$G$42,C$112)</f>
        <v>3.5</v>
      </c>
      <c r="D113" s="23" t="n">
        <f aca="false">SUMIFS('Loss time 19-10'!$Q$3:$Q$42,'Loss time 19-10'!$H$3:$H$42,$A113,'Loss time 19-10'!$G$3:$G$42,D$112)</f>
        <v>9</v>
      </c>
      <c r="E113" s="23" t="n">
        <f aca="false">SUMIFS('Loss time 19-10'!$Q$3:$Q$42,'Loss time 19-10'!$H$3:$H$42,$A113,'Loss time 19-10'!$G$3:$G$42,E$112)</f>
        <v>9.5</v>
      </c>
      <c r="F113" s="23" t="n">
        <f aca="false">SUMIFS('Loss time 19-10'!$Q$3:$Q$42,'Loss time 19-10'!$H$3:$H$42,$A113,'Loss time 19-10'!$G$3:$G$42,F$112)</f>
        <v>25</v>
      </c>
      <c r="G113" s="23" t="n">
        <f aca="false">SUMIFS('Loss time 19-10'!$Q$3:$Q$42,'Loss time 19-10'!$H$3:$H$42,$A113,'Loss time 19-10'!$G$3:$G$42,G$112)</f>
        <v>0</v>
      </c>
      <c r="H113" s="23" t="n">
        <f aca="false">SUMIFS('Loss time 19-10'!$Q$3:$Q$42,'Loss time 19-10'!$H$3:$H$42,$A113,'Loss time 19-10'!$G$3:$G$42,H$112)</f>
        <v>0</v>
      </c>
      <c r="I113" s="23" t="n">
        <f aca="false">SUMIFS('Loss time 19-10'!$Q$3:$Q$42,'Loss time 19-10'!$H$3:$H$42,$A113,'Loss time 19-10'!$G$3:$G$42,I$112)</f>
        <v>0</v>
      </c>
      <c r="J113" s="24" t="n">
        <f aca="false">SUM(C113:I113)</f>
        <v>47</v>
      </c>
    </row>
    <row r="114" customFormat="false" ht="15" hidden="false" customHeight="false" outlineLevel="0" collapsed="false">
      <c r="A114" s="22" t="s">
        <v>30</v>
      </c>
      <c r="B114" s="22" t="s">
        <v>31</v>
      </c>
      <c r="C114" s="23" t="n">
        <f aca="false">SUMIFS('Loss time 19-10'!$Q$3:$Q$42,'Loss time 19-10'!$H$3:$H$42,$A114,'Loss time 19-10'!$G$3:$G$42,C$112)</f>
        <v>12.5</v>
      </c>
      <c r="D114" s="23" t="n">
        <f aca="false">SUMIFS('Loss time 19-10'!$Q$3:$Q$42,'Loss time 19-10'!$H$3:$H$42,$A114,'Loss time 19-10'!$G$3:$G$42,D$112)</f>
        <v>112.5</v>
      </c>
      <c r="E114" s="23" t="n">
        <f aca="false">SUMIFS('Loss time 19-10'!$Q$3:$Q$42,'Loss time 19-10'!$H$3:$H$42,$A114,'Loss time 19-10'!$G$3:$G$42,E$112)</f>
        <v>75</v>
      </c>
      <c r="F114" s="23" t="n">
        <f aca="false">SUMIFS('Loss time 19-10'!$Q$3:$Q$42,'Loss time 19-10'!$H$3:$H$42,$A114,'Loss time 19-10'!$G$3:$G$42,F$112)</f>
        <v>25</v>
      </c>
      <c r="G114" s="23" t="n">
        <f aca="false">SUMIFS('Loss time 19-10'!$Q$3:$Q$42,'Loss time 19-10'!$H$3:$H$42,$A114,'Loss time 19-10'!$G$3:$G$42,G$112)</f>
        <v>0</v>
      </c>
      <c r="H114" s="23" t="n">
        <f aca="false">SUMIFS('Loss time 19-10'!$Q$3:$Q$42,'Loss time 19-10'!$H$3:$H$42,$A114,'Loss time 19-10'!$G$3:$G$42,H$112)</f>
        <v>0</v>
      </c>
      <c r="I114" s="23" t="n">
        <f aca="false">SUMIFS('Loss time 19-10'!$Q$3:$Q$42,'Loss time 19-10'!$H$3:$H$42,$A114,'Loss time 19-10'!$G$3:$G$42,I$112)</f>
        <v>0</v>
      </c>
      <c r="J114" s="24" t="n">
        <f aca="false">SUM(C114:I114)</f>
        <v>225</v>
      </c>
    </row>
    <row r="115" customFormat="false" ht="15" hidden="false" customHeight="false" outlineLevel="0" collapsed="false">
      <c r="A115" s="22" t="s">
        <v>48</v>
      </c>
      <c r="B115" s="22" t="s">
        <v>49</v>
      </c>
      <c r="C115" s="23" t="n">
        <f aca="false">SUMIFS('Loss time 19-10'!$Q$3:$Q$42,'Loss time 19-10'!$H$3:$H$42,$A115,'Loss time 19-10'!$G$3:$G$42,C$112)</f>
        <v>0</v>
      </c>
      <c r="D115" s="23" t="n">
        <f aca="false">SUMIFS('Loss time 19-10'!$Q$3:$Q$42,'Loss time 19-10'!$H$3:$H$42,$A115,'Loss time 19-10'!$G$3:$G$42,D$112)</f>
        <v>0</v>
      </c>
      <c r="E115" s="23" t="n">
        <f aca="false">SUMIFS('Loss time 19-10'!$Q$3:$Q$42,'Loss time 19-10'!$H$3:$H$42,$A115,'Loss time 19-10'!$G$3:$G$42,E$112)</f>
        <v>8</v>
      </c>
      <c r="F115" s="23" t="n">
        <f aca="false">SUMIFS('Loss time 19-10'!$Q$3:$Q$42,'Loss time 19-10'!$H$3:$H$42,$A115,'Loss time 19-10'!$G$3:$G$42,F$112)</f>
        <v>16</v>
      </c>
      <c r="G115" s="23" t="n">
        <f aca="false">SUMIFS('Loss time 19-10'!$Q$3:$Q$42,'Loss time 19-10'!$H$3:$H$42,$A115,'Loss time 19-10'!$G$3:$G$42,G$112)</f>
        <v>0</v>
      </c>
      <c r="H115" s="23" t="n">
        <f aca="false">SUMIFS('Loss time 19-10'!$Q$3:$Q$42,'Loss time 19-10'!$H$3:$H$42,$A115,'Loss time 19-10'!$G$3:$G$42,H$112)</f>
        <v>0</v>
      </c>
      <c r="I115" s="23" t="n">
        <f aca="false">SUMIFS('Loss time 19-10'!$Q$3:$Q$42,'Loss time 19-10'!$H$3:$H$42,$A115,'Loss time 19-10'!$G$3:$G$42,I$112)</f>
        <v>0</v>
      </c>
      <c r="J115" s="24" t="n">
        <f aca="false">SUM(C115:I115)</f>
        <v>24</v>
      </c>
    </row>
    <row r="116" customFormat="false" ht="15" hidden="false" customHeight="false" outlineLevel="0" collapsed="false">
      <c r="A116" s="22" t="s">
        <v>52</v>
      </c>
      <c r="B116" s="22" t="s">
        <v>53</v>
      </c>
      <c r="C116" s="23" t="n">
        <f aca="false">SUMIFS('Loss time 19-10'!$Q$3:$Q$42,'Loss time 19-10'!$H$3:$H$42,$A116,'Loss time 19-10'!$G$3:$G$42,C$112)</f>
        <v>0</v>
      </c>
      <c r="D116" s="23" t="n">
        <f aca="false">SUMIFS('Loss time 19-10'!$Q$3:$Q$42,'Loss time 19-10'!$H$3:$H$42,$A116,'Loss time 19-10'!$G$3:$G$42,D$112)</f>
        <v>0</v>
      </c>
      <c r="E116" s="23" t="n">
        <f aca="false">SUMIFS('Loss time 19-10'!$Q$3:$Q$42,'Loss time 19-10'!$H$3:$H$42,$A116,'Loss time 19-10'!$G$3:$G$42,E$112)</f>
        <v>31.5</v>
      </c>
      <c r="F116" s="23" t="n">
        <f aca="false">SUMIFS('Loss time 19-10'!$Q$3:$Q$42,'Loss time 19-10'!$H$3:$H$42,$A116,'Loss time 19-10'!$G$3:$G$42,F$112)</f>
        <v>157.5</v>
      </c>
      <c r="G116" s="23" t="n">
        <f aca="false">SUMIFS('Loss time 19-10'!$Q$3:$Q$42,'Loss time 19-10'!$H$3:$H$42,$A116,'Loss time 19-10'!$G$3:$G$42,G$112)</f>
        <v>0</v>
      </c>
      <c r="H116" s="23" t="n">
        <f aca="false">SUMIFS('Loss time 19-10'!$Q$3:$Q$42,'Loss time 19-10'!$H$3:$H$42,$A116,'Loss time 19-10'!$G$3:$G$42,H$112)</f>
        <v>63</v>
      </c>
      <c r="I116" s="23" t="n">
        <f aca="false">SUMIFS('Loss time 19-10'!$Q$3:$Q$42,'Loss time 19-10'!$H$3:$H$42,$A116,'Loss time 19-10'!$G$3:$G$42,I$112)</f>
        <v>0</v>
      </c>
      <c r="J116" s="24" t="n">
        <f aca="false">SUM(C116:I116)</f>
        <v>252</v>
      </c>
    </row>
    <row r="117" customFormat="false" ht="15" hidden="false" customHeight="false" outlineLevel="0" collapsed="false">
      <c r="A117" s="25" t="s">
        <v>75</v>
      </c>
      <c r="B117" s="25"/>
      <c r="C117" s="24" t="n">
        <f aca="false">SUM(C113:C116)</f>
        <v>16</v>
      </c>
      <c r="D117" s="24" t="n">
        <f aca="false">SUM(D113:D116)</f>
        <v>121.5</v>
      </c>
      <c r="E117" s="24" t="n">
        <f aca="false">SUM(E113:E116)</f>
        <v>124</v>
      </c>
      <c r="F117" s="24" t="n">
        <f aca="false">SUM(F113:F116)</f>
        <v>223.5</v>
      </c>
      <c r="G117" s="24" t="n">
        <f aca="false">SUM(G113:G116)</f>
        <v>0</v>
      </c>
      <c r="H117" s="24" t="n">
        <f aca="false">SUM(H113:H116)</f>
        <v>63</v>
      </c>
      <c r="I117" s="24" t="n">
        <f aca="false">SUM(I113:I116)</f>
        <v>0</v>
      </c>
      <c r="J117" s="24" t="n">
        <f aca="false">SUM(J113:J116)</f>
        <v>548</v>
      </c>
    </row>
    <row r="120" customFormat="false" ht="15" hidden="false" customHeight="false" outlineLevel="0" collapsed="false">
      <c r="A120" s="18" t="s">
        <v>361</v>
      </c>
    </row>
    <row r="121" customFormat="false" ht="25.35" hidden="false" customHeight="false" outlineLevel="0" collapsed="false">
      <c r="A121" s="2" t="s">
        <v>8</v>
      </c>
      <c r="B121" s="2" t="s">
        <v>347</v>
      </c>
      <c r="C121" s="2" t="s">
        <v>18</v>
      </c>
      <c r="D121" s="2" t="s">
        <v>23</v>
      </c>
      <c r="E121" s="2" t="s">
        <v>25</v>
      </c>
      <c r="F121" s="2" t="s">
        <v>28</v>
      </c>
      <c r="G121" s="2" t="s">
        <v>68</v>
      </c>
      <c r="H121" s="2" t="s">
        <v>72</v>
      </c>
      <c r="I121" s="2" t="s">
        <v>348</v>
      </c>
      <c r="J121" s="2" t="s">
        <v>75</v>
      </c>
    </row>
    <row r="122" customFormat="false" ht="15" hidden="false" customHeight="false" outlineLevel="0" collapsed="false">
      <c r="A122" s="22" t="s">
        <v>19</v>
      </c>
      <c r="B122" s="22" t="s">
        <v>20</v>
      </c>
      <c r="C122" s="23" t="n">
        <f aca="false">SUMIFS('Loss time 20-10'!$Q$3:$Q$43,'Loss time 20-10'!$H$3:$H$43,$A122,'Loss time 20-10'!$G$3:$G$43,C$121)</f>
        <v>3.5</v>
      </c>
      <c r="D122" s="23" t="n">
        <f aca="false">SUMIFS('Loss time 20-10'!$Q$3:$Q$43,'Loss time 20-10'!$H$3:$H$43,$A122,'Loss time 20-10'!$G$3:$G$43,D$121)</f>
        <v>9</v>
      </c>
      <c r="E122" s="23" t="n">
        <f aca="false">SUMIFS('Loss time 20-10'!$Q$3:$Q$43,'Loss time 20-10'!$H$3:$H$43,$A122,'Loss time 20-10'!$G$3:$G$43,E$121)</f>
        <v>9.5</v>
      </c>
      <c r="F122" s="23" t="n">
        <f aca="false">SUMIFS('Loss time 20-10'!$Q$3:$Q$43,'Loss time 20-10'!$H$3:$H$43,$A122,'Loss time 20-10'!$G$3:$G$43,F$121)</f>
        <v>25</v>
      </c>
      <c r="G122" s="23" t="n">
        <f aca="false">SUMIFS('Loss time 20-10'!$Q$3:$Q$43,'Loss time 20-10'!$H$3:$H$43,$A122,'Loss time 20-10'!$G$3:$G$43,G$121)</f>
        <v>0</v>
      </c>
      <c r="H122" s="23" t="n">
        <f aca="false">SUMIFS('Loss time 20-10'!$Q$3:$Q$43,'Loss time 20-10'!$H$3:$H$43,$A122,'Loss time 20-10'!$G$3:$G$43,H$121)</f>
        <v>0</v>
      </c>
      <c r="I122" s="23" t="n">
        <f aca="false">SUMIFS('Loss time 20-10'!$Q$3:$Q$43,'Loss time 20-10'!$H$3:$H$43,$A122,'Loss time 20-10'!$G$3:$G$43,I$121)</f>
        <v>0</v>
      </c>
      <c r="J122" s="24" t="n">
        <f aca="false">SUM(C122:I122)</f>
        <v>47</v>
      </c>
    </row>
    <row r="123" customFormat="false" ht="15" hidden="false" customHeight="false" outlineLevel="0" collapsed="false">
      <c r="A123" s="22" t="s">
        <v>30</v>
      </c>
      <c r="B123" s="22" t="s">
        <v>31</v>
      </c>
      <c r="C123" s="23" t="n">
        <f aca="false">SUMIFS('Loss time 20-10'!$Q$3:$Q$43,'Loss time 20-10'!$H$3:$H$43,$A123,'Loss time 20-10'!$G$3:$G$43,C$121)</f>
        <v>12.5</v>
      </c>
      <c r="D123" s="23" t="n">
        <f aca="false">SUMIFS('Loss time 20-10'!$Q$3:$Q$43,'Loss time 20-10'!$H$3:$H$43,$A123,'Loss time 20-10'!$G$3:$G$43,D$121)</f>
        <v>112.5</v>
      </c>
      <c r="E123" s="23" t="n">
        <f aca="false">SUMIFS('Loss time 20-10'!$Q$3:$Q$43,'Loss time 20-10'!$H$3:$H$43,$A123,'Loss time 20-10'!$G$3:$G$43,E$121)</f>
        <v>75</v>
      </c>
      <c r="F123" s="23" t="n">
        <f aca="false">SUMIFS('Loss time 20-10'!$Q$3:$Q$43,'Loss time 20-10'!$H$3:$H$43,$A123,'Loss time 20-10'!$G$3:$G$43,F$121)</f>
        <v>25</v>
      </c>
      <c r="G123" s="23" t="n">
        <f aca="false">SUMIFS('Loss time 20-10'!$Q$3:$Q$43,'Loss time 20-10'!$H$3:$H$43,$A123,'Loss time 20-10'!$G$3:$G$43,G$121)</f>
        <v>0</v>
      </c>
      <c r="H123" s="23" t="n">
        <f aca="false">SUMIFS('Loss time 20-10'!$Q$3:$Q$43,'Loss time 20-10'!$H$3:$H$43,$A123,'Loss time 20-10'!$G$3:$G$43,H$121)</f>
        <v>0</v>
      </c>
      <c r="I123" s="23" t="n">
        <f aca="false">SUMIFS('Loss time 20-10'!$Q$3:$Q$43,'Loss time 20-10'!$H$3:$H$43,$A123,'Loss time 20-10'!$G$3:$G$43,I$121)</f>
        <v>0</v>
      </c>
      <c r="J123" s="24" t="n">
        <f aca="false">SUM(C123:I123)</f>
        <v>225</v>
      </c>
    </row>
    <row r="124" customFormat="false" ht="15" hidden="false" customHeight="false" outlineLevel="0" collapsed="false">
      <c r="A124" s="22" t="s">
        <v>48</v>
      </c>
      <c r="B124" s="22" t="s">
        <v>49</v>
      </c>
      <c r="C124" s="23" t="n">
        <f aca="false">SUMIFS('Loss time 20-10'!$Q$3:$Q$43,'Loss time 20-10'!$H$3:$H$43,$A124,'Loss time 20-10'!$G$3:$G$43,C$121)</f>
        <v>0</v>
      </c>
      <c r="D124" s="23" t="n">
        <f aca="false">SUMIFS('Loss time 20-10'!$Q$3:$Q$43,'Loss time 20-10'!$H$3:$H$43,$A124,'Loss time 20-10'!$G$3:$G$43,D$121)</f>
        <v>0</v>
      </c>
      <c r="E124" s="23" t="n">
        <f aca="false">SUMIFS('Loss time 20-10'!$Q$3:$Q$43,'Loss time 20-10'!$H$3:$H$43,$A124,'Loss time 20-10'!$G$3:$G$43,E$121)</f>
        <v>16</v>
      </c>
      <c r="F124" s="23" t="n">
        <f aca="false">SUMIFS('Loss time 20-10'!$Q$3:$Q$43,'Loss time 20-10'!$H$3:$H$43,$A124,'Loss time 20-10'!$G$3:$G$43,F$121)</f>
        <v>32</v>
      </c>
      <c r="G124" s="23" t="n">
        <f aca="false">SUMIFS('Loss time 20-10'!$Q$3:$Q$43,'Loss time 20-10'!$H$3:$H$43,$A124,'Loss time 20-10'!$G$3:$G$43,G$121)</f>
        <v>0</v>
      </c>
      <c r="H124" s="23" t="n">
        <f aca="false">SUMIFS('Loss time 20-10'!$Q$3:$Q$43,'Loss time 20-10'!$H$3:$H$43,$A124,'Loss time 20-10'!$G$3:$G$43,H$121)</f>
        <v>0</v>
      </c>
      <c r="I124" s="23" t="n">
        <f aca="false">SUMIFS('Loss time 20-10'!$Q$3:$Q$43,'Loss time 20-10'!$H$3:$H$43,$A124,'Loss time 20-10'!$G$3:$G$43,I$121)</f>
        <v>0</v>
      </c>
      <c r="J124" s="24" t="n">
        <f aca="false">SUM(C124:I124)</f>
        <v>48</v>
      </c>
    </row>
    <row r="125" customFormat="false" ht="15" hidden="false" customHeight="false" outlineLevel="0" collapsed="false">
      <c r="A125" s="22" t="s">
        <v>52</v>
      </c>
      <c r="B125" s="22" t="s">
        <v>53</v>
      </c>
      <c r="C125" s="23" t="n">
        <f aca="false">SUMIFS('Loss time 20-10'!$Q$3:$Q$43,'Loss time 20-10'!$H$3:$H$43,$A125,'Loss time 20-10'!$G$3:$G$43,C$121)</f>
        <v>0</v>
      </c>
      <c r="D125" s="23" t="n">
        <f aca="false">SUMIFS('Loss time 20-10'!$Q$3:$Q$43,'Loss time 20-10'!$H$3:$H$43,$A125,'Loss time 20-10'!$G$3:$G$43,D$121)</f>
        <v>0</v>
      </c>
      <c r="E125" s="23" t="n">
        <f aca="false">SUMIFS('Loss time 20-10'!$Q$3:$Q$43,'Loss time 20-10'!$H$3:$H$43,$A125,'Loss time 20-10'!$G$3:$G$43,E$121)</f>
        <v>36</v>
      </c>
      <c r="F125" s="23" t="n">
        <f aca="false">SUMIFS('Loss time 20-10'!$Q$3:$Q$43,'Loss time 20-10'!$H$3:$H$43,$A125,'Loss time 20-10'!$G$3:$G$43,F$121)</f>
        <v>139.5</v>
      </c>
      <c r="G125" s="23" t="n">
        <f aca="false">SUMIFS('Loss time 20-10'!$Q$3:$Q$43,'Loss time 20-10'!$H$3:$H$43,$A125,'Loss time 20-10'!$G$3:$G$43,G$121)</f>
        <v>0</v>
      </c>
      <c r="H125" s="23" t="n">
        <f aca="false">SUMIFS('Loss time 20-10'!$Q$3:$Q$43,'Loss time 20-10'!$H$3:$H$43,$A125,'Loss time 20-10'!$G$3:$G$43,H$121)</f>
        <v>63</v>
      </c>
      <c r="I125" s="23" t="n">
        <f aca="false">SUMIFS('Loss time 20-10'!$Q$3:$Q$43,'Loss time 20-10'!$H$3:$H$43,$A125,'Loss time 20-10'!$G$3:$G$43,I$121)</f>
        <v>0</v>
      </c>
      <c r="J125" s="24" t="n">
        <f aca="false">SUM(C125:I125)</f>
        <v>238.5</v>
      </c>
    </row>
    <row r="126" customFormat="false" ht="15" hidden="false" customHeight="false" outlineLevel="0" collapsed="false">
      <c r="A126" s="25" t="s">
        <v>75</v>
      </c>
      <c r="B126" s="25"/>
      <c r="C126" s="24" t="n">
        <f aca="false">SUM(C122:C125)</f>
        <v>16</v>
      </c>
      <c r="D126" s="24" t="n">
        <f aca="false">SUM(D122:D125)</f>
        <v>121.5</v>
      </c>
      <c r="E126" s="24" t="n">
        <f aca="false">SUM(E122:E125)</f>
        <v>136.5</v>
      </c>
      <c r="F126" s="24" t="n">
        <f aca="false">SUM(F122:F125)</f>
        <v>221.5</v>
      </c>
      <c r="G126" s="24" t="n">
        <f aca="false">SUM(G122:G125)</f>
        <v>0</v>
      </c>
      <c r="H126" s="24" t="n">
        <f aca="false">SUM(H122:H125)</f>
        <v>63</v>
      </c>
      <c r="I126" s="24" t="n">
        <f aca="false">SUM(I122:I125)</f>
        <v>0</v>
      </c>
      <c r="J126" s="24" t="n">
        <f aca="false">SUM(J122:J125)</f>
        <v>558.5</v>
      </c>
    </row>
    <row r="129" customFormat="false" ht="15" hidden="false" customHeight="false" outlineLevel="0" collapsed="false">
      <c r="A129" s="18" t="s">
        <v>362</v>
      </c>
    </row>
    <row r="130" customFormat="false" ht="25.35" hidden="false" customHeight="false" outlineLevel="0" collapsed="false">
      <c r="A130" s="2" t="s">
        <v>8</v>
      </c>
      <c r="B130" s="2" t="s">
        <v>347</v>
      </c>
      <c r="C130" s="2" t="s">
        <v>18</v>
      </c>
      <c r="D130" s="2" t="s">
        <v>23</v>
      </c>
      <c r="E130" s="2" t="s">
        <v>25</v>
      </c>
      <c r="F130" s="2" t="s">
        <v>28</v>
      </c>
      <c r="G130" s="2" t="s">
        <v>68</v>
      </c>
      <c r="H130" s="2" t="s">
        <v>72</v>
      </c>
      <c r="I130" s="2" t="s">
        <v>348</v>
      </c>
      <c r="J130" s="2" t="s">
        <v>75</v>
      </c>
    </row>
    <row r="131" customFormat="false" ht="15" hidden="false" customHeight="false" outlineLevel="0" collapsed="false">
      <c r="A131" s="22" t="s">
        <v>19</v>
      </c>
      <c r="B131" s="22" t="s">
        <v>20</v>
      </c>
      <c r="C131" s="23" t="n">
        <f aca="false">SUMIFS('Loss time 21-10'!$Q$3:$Q$43,'Loss time 21-10'!$H$3:$H$43,$A131,'Loss time 21-10'!$G$3:$G$43,C$130)</f>
        <v>3.5</v>
      </c>
      <c r="D131" s="23" t="n">
        <f aca="false">SUMIFS('Loss time 21-10'!$Q$3:$Q$43,'Loss time 21-10'!$H$3:$H$43,$A131,'Loss time 21-10'!$G$3:$G$43,D$130)</f>
        <v>9</v>
      </c>
      <c r="E131" s="23" t="n">
        <f aca="false">SUMIFS('Loss time 21-10'!$Q$3:$Q$43,'Loss time 21-10'!$H$3:$H$43,$A131,'Loss time 21-10'!$G$3:$G$43,E$130)</f>
        <v>9.5</v>
      </c>
      <c r="F131" s="23" t="n">
        <f aca="false">SUMIFS('Loss time 21-10'!$Q$3:$Q$43,'Loss time 21-10'!$H$3:$H$43,$A131,'Loss time 21-10'!$G$3:$G$43,F$130)</f>
        <v>25</v>
      </c>
      <c r="G131" s="23" t="n">
        <f aca="false">SUMIFS('Loss time 21-10'!$Q$3:$Q$43,'Loss time 21-10'!$H$3:$H$43,$A131,'Loss time 21-10'!$G$3:$G$43,G$130)</f>
        <v>0</v>
      </c>
      <c r="H131" s="23" t="n">
        <f aca="false">SUMIFS('Loss time 21-10'!$Q$3:$Q$43,'Loss time 21-10'!$H$3:$H$43,$A131,'Loss time 21-10'!$G$3:$G$43,H$130)</f>
        <v>0</v>
      </c>
      <c r="I131" s="23" t="n">
        <f aca="false">SUMIFS('Loss time 21-10'!$Q$3:$Q$43,'Loss time 21-10'!$H$3:$H$43,$A131,'Loss time 21-10'!$G$3:$G$43,I$130)</f>
        <v>0</v>
      </c>
      <c r="J131" s="24" t="n">
        <f aca="false">SUM(C131:I131)</f>
        <v>47</v>
      </c>
    </row>
    <row r="132" customFormat="false" ht="15" hidden="false" customHeight="false" outlineLevel="0" collapsed="false">
      <c r="A132" s="22" t="s">
        <v>30</v>
      </c>
      <c r="B132" s="22" t="s">
        <v>31</v>
      </c>
      <c r="C132" s="23" t="n">
        <f aca="false">SUMIFS('Loss time 21-10'!$Q$3:$Q$43,'Loss time 21-10'!$H$3:$H$43,$A132,'Loss time 21-10'!$G$3:$G$43,C$130)</f>
        <v>12.5</v>
      </c>
      <c r="D132" s="23" t="n">
        <f aca="false">SUMIFS('Loss time 21-10'!$Q$3:$Q$43,'Loss time 21-10'!$H$3:$H$43,$A132,'Loss time 21-10'!$G$3:$G$43,D$130)</f>
        <v>112.5</v>
      </c>
      <c r="E132" s="23" t="n">
        <f aca="false">SUMIFS('Loss time 21-10'!$Q$3:$Q$43,'Loss time 21-10'!$H$3:$H$43,$A132,'Loss time 21-10'!$G$3:$G$43,E$130)</f>
        <v>75</v>
      </c>
      <c r="F132" s="23" t="n">
        <f aca="false">SUMIFS('Loss time 21-10'!$Q$3:$Q$43,'Loss time 21-10'!$H$3:$H$43,$A132,'Loss time 21-10'!$G$3:$G$43,F$130)</f>
        <v>25</v>
      </c>
      <c r="G132" s="23" t="n">
        <f aca="false">SUMIFS('Loss time 21-10'!$Q$3:$Q$43,'Loss time 21-10'!$H$3:$H$43,$A132,'Loss time 21-10'!$G$3:$G$43,G$130)</f>
        <v>0</v>
      </c>
      <c r="H132" s="23" t="n">
        <f aca="false">SUMIFS('Loss time 21-10'!$Q$3:$Q$43,'Loss time 21-10'!$H$3:$H$43,$A132,'Loss time 21-10'!$G$3:$G$43,H$130)</f>
        <v>0</v>
      </c>
      <c r="I132" s="23" t="n">
        <f aca="false">SUMIFS('Loss time 21-10'!$Q$3:$Q$43,'Loss time 21-10'!$H$3:$H$43,$A132,'Loss time 21-10'!$G$3:$G$43,I$130)</f>
        <v>0</v>
      </c>
      <c r="J132" s="24" t="n">
        <f aca="false">SUM(C132:I132)</f>
        <v>225</v>
      </c>
    </row>
    <row r="133" customFormat="false" ht="15" hidden="false" customHeight="false" outlineLevel="0" collapsed="false">
      <c r="A133" s="22" t="s">
        <v>48</v>
      </c>
      <c r="B133" s="22" t="s">
        <v>49</v>
      </c>
      <c r="C133" s="23" t="n">
        <f aca="false">SUMIFS('Loss time 21-10'!$Q$3:$Q$43,'Loss time 21-10'!$H$3:$H$43,$A133,'Loss time 21-10'!$G$3:$G$43,C$130)</f>
        <v>0</v>
      </c>
      <c r="D133" s="23" t="n">
        <f aca="false">SUMIFS('Loss time 21-10'!$Q$3:$Q$43,'Loss time 21-10'!$H$3:$H$43,$A133,'Loss time 21-10'!$G$3:$G$43,D$130)</f>
        <v>0</v>
      </c>
      <c r="E133" s="23" t="n">
        <f aca="false">SUMIFS('Loss time 21-10'!$Q$3:$Q$43,'Loss time 21-10'!$H$3:$H$43,$A133,'Loss time 21-10'!$G$3:$G$43,E$130)</f>
        <v>16</v>
      </c>
      <c r="F133" s="23" t="n">
        <f aca="false">SUMIFS('Loss time 21-10'!$Q$3:$Q$43,'Loss time 21-10'!$H$3:$H$43,$A133,'Loss time 21-10'!$G$3:$G$43,F$130)</f>
        <v>16</v>
      </c>
      <c r="G133" s="23" t="n">
        <f aca="false">SUMIFS('Loss time 21-10'!$Q$3:$Q$43,'Loss time 21-10'!$H$3:$H$43,$A133,'Loss time 21-10'!$G$3:$G$43,G$130)</f>
        <v>0</v>
      </c>
      <c r="H133" s="23" t="n">
        <f aca="false">SUMIFS('Loss time 21-10'!$Q$3:$Q$43,'Loss time 21-10'!$H$3:$H$43,$A133,'Loss time 21-10'!$G$3:$G$43,H$130)</f>
        <v>8</v>
      </c>
      <c r="I133" s="23" t="n">
        <f aca="false">SUMIFS('Loss time 21-10'!$Q$3:$Q$43,'Loss time 21-10'!$H$3:$H$43,$A133,'Loss time 21-10'!$G$3:$G$43,I$130)</f>
        <v>0</v>
      </c>
      <c r="J133" s="24" t="n">
        <f aca="false">SUM(C133:I133)</f>
        <v>40</v>
      </c>
    </row>
    <row r="134" customFormat="false" ht="15" hidden="false" customHeight="false" outlineLevel="0" collapsed="false">
      <c r="A134" s="22" t="s">
        <v>52</v>
      </c>
      <c r="B134" s="22" t="s">
        <v>53</v>
      </c>
      <c r="C134" s="23" t="n">
        <f aca="false">SUMIFS('Loss time 21-10'!$Q$3:$Q$43,'Loss time 21-10'!$H$3:$H$43,$A134,'Loss time 21-10'!$G$3:$G$43,C$130)</f>
        <v>0</v>
      </c>
      <c r="D134" s="23" t="n">
        <f aca="false">SUMIFS('Loss time 21-10'!$Q$3:$Q$43,'Loss time 21-10'!$H$3:$H$43,$A134,'Loss time 21-10'!$G$3:$G$43,D$130)</f>
        <v>0</v>
      </c>
      <c r="E134" s="23" t="n">
        <f aca="false">SUMIFS('Loss time 21-10'!$Q$3:$Q$43,'Loss time 21-10'!$H$3:$H$43,$A134,'Loss time 21-10'!$G$3:$G$43,E$130)</f>
        <v>31.5</v>
      </c>
      <c r="F134" s="23" t="n">
        <f aca="false">SUMIFS('Loss time 21-10'!$Q$3:$Q$43,'Loss time 21-10'!$H$3:$H$43,$A134,'Loss time 21-10'!$G$3:$G$43,F$130)</f>
        <v>126</v>
      </c>
      <c r="G134" s="23" t="n">
        <f aca="false">SUMIFS('Loss time 21-10'!$Q$3:$Q$43,'Loss time 21-10'!$H$3:$H$43,$A134,'Loss time 21-10'!$G$3:$G$43,G$130)</f>
        <v>0</v>
      </c>
      <c r="H134" s="23" t="n">
        <f aca="false">SUMIFS('Loss time 21-10'!$Q$3:$Q$43,'Loss time 21-10'!$H$3:$H$43,$A134,'Loss time 21-10'!$G$3:$G$43,H$130)</f>
        <v>45</v>
      </c>
      <c r="I134" s="23" t="n">
        <f aca="false">SUMIFS('Loss time 21-10'!$Q$3:$Q$43,'Loss time 21-10'!$H$3:$H$43,$A134,'Loss time 21-10'!$G$3:$G$43,I$130)</f>
        <v>0</v>
      </c>
      <c r="J134" s="24" t="n">
        <f aca="false">SUM(C134:I134)</f>
        <v>202.5</v>
      </c>
    </row>
    <row r="135" customFormat="false" ht="15" hidden="false" customHeight="false" outlineLevel="0" collapsed="false">
      <c r="A135" s="25" t="s">
        <v>75</v>
      </c>
      <c r="B135" s="25"/>
      <c r="C135" s="24" t="n">
        <f aca="false">SUM(C131:C134)</f>
        <v>16</v>
      </c>
      <c r="D135" s="24" t="n">
        <f aca="false">SUM(D131:D134)</f>
        <v>121.5</v>
      </c>
      <c r="E135" s="24" t="n">
        <f aca="false">SUM(E131:E134)</f>
        <v>132</v>
      </c>
      <c r="F135" s="24" t="n">
        <f aca="false">SUM(F131:F134)</f>
        <v>192</v>
      </c>
      <c r="G135" s="24" t="n">
        <f aca="false">SUM(G131:G134)</f>
        <v>0</v>
      </c>
      <c r="H135" s="24" t="n">
        <f aca="false">SUM(H131:H134)</f>
        <v>53</v>
      </c>
      <c r="I135" s="24" t="n">
        <f aca="false">SUM(I131:I134)</f>
        <v>0</v>
      </c>
      <c r="J135" s="24" t="n">
        <f aca="false">SUM(J131:J134)</f>
        <v>514.5</v>
      </c>
    </row>
    <row r="138" customFormat="false" ht="15" hidden="false" customHeight="false" outlineLevel="0" collapsed="false">
      <c r="A138" s="18" t="s">
        <v>363</v>
      </c>
    </row>
    <row r="139" customFormat="false" ht="25.35" hidden="false" customHeight="false" outlineLevel="0" collapsed="false">
      <c r="A139" s="2" t="s">
        <v>8</v>
      </c>
      <c r="B139" s="2" t="s">
        <v>347</v>
      </c>
      <c r="C139" s="2" t="s">
        <v>18</v>
      </c>
      <c r="D139" s="2" t="s">
        <v>23</v>
      </c>
      <c r="E139" s="2" t="s">
        <v>25</v>
      </c>
      <c r="F139" s="2" t="s">
        <v>28</v>
      </c>
      <c r="G139" s="2" t="s">
        <v>68</v>
      </c>
      <c r="H139" s="2" t="s">
        <v>72</v>
      </c>
      <c r="I139" s="2" t="s">
        <v>348</v>
      </c>
      <c r="J139" s="2" t="s">
        <v>75</v>
      </c>
    </row>
    <row r="140" customFormat="false" ht="15" hidden="false" customHeight="false" outlineLevel="0" collapsed="false">
      <c r="A140" s="22" t="s">
        <v>19</v>
      </c>
      <c r="B140" s="22" t="s">
        <v>20</v>
      </c>
      <c r="C140" s="23" t="n">
        <f aca="false">SUMIFS('Loss time 22-10'!$Q$3:$Q$44,'Loss time 22-10'!$H$3:$H$44,$A140,'Loss time 22-10'!$G$3:$G$44,C$139)</f>
        <v>3.5</v>
      </c>
      <c r="D140" s="23" t="n">
        <f aca="false">SUMIFS('Loss time 22-10'!$Q$3:$Q$44,'Loss time 22-10'!$H$3:$H$44,$A140,'Loss time 22-10'!$G$3:$G$44,D$139)</f>
        <v>9</v>
      </c>
      <c r="E140" s="23" t="n">
        <f aca="false">SUMIFS('Loss time 22-10'!$Q$3:$Q$44,'Loss time 22-10'!$H$3:$H$44,$A140,'Loss time 22-10'!$G$3:$G$44,E$139)</f>
        <v>9.5</v>
      </c>
      <c r="F140" s="23" t="n">
        <f aca="false">SUMIFS('Loss time 22-10'!$Q$3:$Q$44,'Loss time 22-10'!$H$3:$H$44,$A140,'Loss time 22-10'!$G$3:$G$44,F$139)</f>
        <v>25</v>
      </c>
      <c r="G140" s="23" t="n">
        <f aca="false">SUMIFS('Loss time 22-10'!$Q$3:$Q$44,'Loss time 22-10'!$H$3:$H$44,$A140,'Loss time 22-10'!$G$3:$G$44,G$139)</f>
        <v>0</v>
      </c>
      <c r="H140" s="23" t="n">
        <f aca="false">SUMIFS('Loss time 22-10'!$Q$3:$Q$44,'Loss time 22-10'!$H$3:$H$44,$A140,'Loss time 22-10'!$G$3:$G$44,H$139)</f>
        <v>0</v>
      </c>
      <c r="I140" s="23" t="n">
        <f aca="false">SUMIFS('Loss time 22-10'!$Q$3:$Q$44,'Loss time 22-10'!$H$3:$H$44,$A140,'Loss time 22-10'!$G$3:$G$44,I$139)</f>
        <v>0</v>
      </c>
      <c r="J140" s="24" t="n">
        <f aca="false">SUM(C140:I140)</f>
        <v>47</v>
      </c>
    </row>
    <row r="141" customFormat="false" ht="15" hidden="false" customHeight="false" outlineLevel="0" collapsed="false">
      <c r="A141" s="22" t="s">
        <v>30</v>
      </c>
      <c r="B141" s="22" t="s">
        <v>31</v>
      </c>
      <c r="C141" s="23" t="n">
        <f aca="false">SUMIFS('Loss time 22-10'!$Q$3:$Q$44,'Loss time 22-10'!$H$3:$H$44,$A141,'Loss time 22-10'!$G$3:$G$44,C$139)</f>
        <v>12.5</v>
      </c>
      <c r="D141" s="23" t="n">
        <f aca="false">SUMIFS('Loss time 22-10'!$Q$3:$Q$44,'Loss time 22-10'!$H$3:$H$44,$A141,'Loss time 22-10'!$G$3:$G$44,D$139)</f>
        <v>112.5</v>
      </c>
      <c r="E141" s="23" t="n">
        <f aca="false">SUMIFS('Loss time 22-10'!$Q$3:$Q$44,'Loss time 22-10'!$H$3:$H$44,$A141,'Loss time 22-10'!$G$3:$G$44,E$139)</f>
        <v>75</v>
      </c>
      <c r="F141" s="23" t="n">
        <f aca="false">SUMIFS('Loss time 22-10'!$Q$3:$Q$44,'Loss time 22-10'!$H$3:$H$44,$A141,'Loss time 22-10'!$G$3:$G$44,F$139)</f>
        <v>25</v>
      </c>
      <c r="G141" s="23" t="n">
        <f aca="false">SUMIFS('Loss time 22-10'!$Q$3:$Q$44,'Loss time 22-10'!$H$3:$H$44,$A141,'Loss time 22-10'!$G$3:$G$44,G$139)</f>
        <v>0</v>
      </c>
      <c r="H141" s="23" t="n">
        <f aca="false">SUMIFS('Loss time 22-10'!$Q$3:$Q$44,'Loss time 22-10'!$H$3:$H$44,$A141,'Loss time 22-10'!$G$3:$G$44,H$139)</f>
        <v>0</v>
      </c>
      <c r="I141" s="23" t="n">
        <f aca="false">SUMIFS('Loss time 22-10'!$Q$3:$Q$44,'Loss time 22-10'!$H$3:$H$44,$A141,'Loss time 22-10'!$G$3:$G$44,I$139)</f>
        <v>0</v>
      </c>
      <c r="J141" s="24" t="n">
        <f aca="false">SUM(C141:I141)</f>
        <v>225</v>
      </c>
    </row>
    <row r="142" customFormat="false" ht="15" hidden="false" customHeight="false" outlineLevel="0" collapsed="false">
      <c r="A142" s="22" t="s">
        <v>48</v>
      </c>
      <c r="B142" s="22" t="s">
        <v>49</v>
      </c>
      <c r="C142" s="23" t="n">
        <f aca="false">SUMIFS('Loss time 22-10'!$Q$3:$Q$44,'Loss time 22-10'!$H$3:$H$44,$A142,'Loss time 22-10'!$G$3:$G$44,C$139)</f>
        <v>0</v>
      </c>
      <c r="D142" s="23" t="n">
        <f aca="false">SUMIFS('Loss time 22-10'!$Q$3:$Q$44,'Loss time 22-10'!$H$3:$H$44,$A142,'Loss time 22-10'!$G$3:$G$44,D$139)</f>
        <v>0</v>
      </c>
      <c r="E142" s="23" t="n">
        <f aca="false">SUMIFS('Loss time 22-10'!$Q$3:$Q$44,'Loss time 22-10'!$H$3:$H$44,$A142,'Loss time 22-10'!$G$3:$G$44,E$139)</f>
        <v>8</v>
      </c>
      <c r="F142" s="23" t="n">
        <f aca="false">SUMIFS('Loss time 22-10'!$Q$3:$Q$44,'Loss time 22-10'!$H$3:$H$44,$A142,'Loss time 22-10'!$G$3:$G$44,F$139)</f>
        <v>16</v>
      </c>
      <c r="G142" s="23" t="n">
        <f aca="false">SUMIFS('Loss time 22-10'!$Q$3:$Q$44,'Loss time 22-10'!$H$3:$H$44,$A142,'Loss time 22-10'!$G$3:$G$44,G$139)</f>
        <v>0</v>
      </c>
      <c r="H142" s="23" t="n">
        <f aca="false">SUMIFS('Loss time 22-10'!$Q$3:$Q$44,'Loss time 22-10'!$H$3:$H$44,$A142,'Loss time 22-10'!$G$3:$G$44,H$139)</f>
        <v>24</v>
      </c>
      <c r="I142" s="23" t="n">
        <f aca="false">SUMIFS('Loss time 22-10'!$Q$3:$Q$44,'Loss time 22-10'!$H$3:$H$44,$A142,'Loss time 22-10'!$G$3:$G$44,I$139)</f>
        <v>0</v>
      </c>
      <c r="J142" s="24" t="n">
        <f aca="false">SUM(C142:I142)</f>
        <v>48</v>
      </c>
    </row>
    <row r="143" customFormat="false" ht="15" hidden="false" customHeight="false" outlineLevel="0" collapsed="false">
      <c r="A143" s="22" t="s">
        <v>52</v>
      </c>
      <c r="B143" s="22" t="s">
        <v>53</v>
      </c>
      <c r="C143" s="23" t="n">
        <f aca="false">SUMIFS('Loss time 22-10'!$Q$3:$Q$44,'Loss time 22-10'!$H$3:$H$44,$A143,'Loss time 22-10'!$G$3:$G$44,C$139)</f>
        <v>0</v>
      </c>
      <c r="D143" s="23" t="n">
        <f aca="false">SUMIFS('Loss time 22-10'!$Q$3:$Q$44,'Loss time 22-10'!$H$3:$H$44,$A143,'Loss time 22-10'!$G$3:$G$44,D$139)</f>
        <v>0</v>
      </c>
      <c r="E143" s="23" t="n">
        <f aca="false">SUMIFS('Loss time 22-10'!$Q$3:$Q$44,'Loss time 22-10'!$H$3:$H$44,$A143,'Loss time 22-10'!$G$3:$G$44,E$139)</f>
        <v>40.5</v>
      </c>
      <c r="F143" s="23" t="n">
        <f aca="false">SUMIFS('Loss time 22-10'!$Q$3:$Q$44,'Loss time 22-10'!$H$3:$H$44,$A143,'Loss time 22-10'!$G$3:$G$44,F$139)</f>
        <v>108</v>
      </c>
      <c r="G143" s="23" t="n">
        <f aca="false">SUMIFS('Loss time 22-10'!$Q$3:$Q$44,'Loss time 22-10'!$H$3:$H$44,$A143,'Loss time 22-10'!$G$3:$G$44,G$139)</f>
        <v>0</v>
      </c>
      <c r="H143" s="23" t="n">
        <f aca="false">SUMIFS('Loss time 22-10'!$Q$3:$Q$44,'Loss time 22-10'!$H$3:$H$44,$A143,'Loss time 22-10'!$G$3:$G$44,H$139)</f>
        <v>40.5</v>
      </c>
      <c r="I143" s="23" t="n">
        <f aca="false">SUMIFS('Loss time 22-10'!$Q$3:$Q$44,'Loss time 22-10'!$H$3:$H$44,$A143,'Loss time 22-10'!$G$3:$G$44,I$139)</f>
        <v>0</v>
      </c>
      <c r="J143" s="24" t="n">
        <f aca="false">SUM(C143:I143)</f>
        <v>189</v>
      </c>
    </row>
    <row r="144" customFormat="false" ht="15" hidden="false" customHeight="false" outlineLevel="0" collapsed="false">
      <c r="A144" s="25" t="s">
        <v>75</v>
      </c>
      <c r="B144" s="25"/>
      <c r="C144" s="24" t="n">
        <f aca="false">SUM(C140:C143)</f>
        <v>16</v>
      </c>
      <c r="D144" s="24" t="n">
        <f aca="false">SUM(D140:D143)</f>
        <v>121.5</v>
      </c>
      <c r="E144" s="24" t="n">
        <f aca="false">SUM(E140:E143)</f>
        <v>133</v>
      </c>
      <c r="F144" s="24" t="n">
        <f aca="false">SUM(F140:F143)</f>
        <v>174</v>
      </c>
      <c r="G144" s="24" t="n">
        <f aca="false">SUM(G140:G143)</f>
        <v>0</v>
      </c>
      <c r="H144" s="24" t="n">
        <f aca="false">SUM(H140:H143)</f>
        <v>64.5</v>
      </c>
      <c r="I144" s="24" t="n">
        <f aca="false">SUM(I140:I143)</f>
        <v>0</v>
      </c>
      <c r="J144" s="24" t="n">
        <f aca="false">SUM(J140:J143)</f>
        <v>509</v>
      </c>
    </row>
    <row r="147" customFormat="false" ht="15" hidden="false" customHeight="false" outlineLevel="0" collapsed="false">
      <c r="A147" s="18" t="s">
        <v>364</v>
      </c>
    </row>
    <row r="148" customFormat="false" ht="25.35" hidden="false" customHeight="false" outlineLevel="0" collapsed="false">
      <c r="A148" s="2" t="s">
        <v>8</v>
      </c>
      <c r="B148" s="2" t="s">
        <v>347</v>
      </c>
      <c r="C148" s="2" t="s">
        <v>18</v>
      </c>
      <c r="D148" s="2" t="s">
        <v>23</v>
      </c>
      <c r="E148" s="2" t="s">
        <v>25</v>
      </c>
      <c r="F148" s="2" t="s">
        <v>28</v>
      </c>
      <c r="G148" s="2" t="s">
        <v>68</v>
      </c>
      <c r="H148" s="2" t="s">
        <v>72</v>
      </c>
      <c r="I148" s="2" t="s">
        <v>348</v>
      </c>
      <c r="J148" s="2" t="s">
        <v>75</v>
      </c>
    </row>
    <row r="149" customFormat="false" ht="15" hidden="false" customHeight="false" outlineLevel="0" collapsed="false">
      <c r="A149" s="22" t="s">
        <v>19</v>
      </c>
      <c r="B149" s="22" t="s">
        <v>20</v>
      </c>
      <c r="C149" s="23" t="n">
        <f aca="false">SUMIFS('Loss time 23-10'!$Q$3:$Q$43,'Loss time 23-10'!$H$3:$H$43,$A149,'Loss time 23-10'!$G$3:$G$43,C$148)</f>
        <v>3.5</v>
      </c>
      <c r="D149" s="23" t="n">
        <f aca="false">SUMIFS('Loss time 23-10'!$Q$3:$Q$43,'Loss time 23-10'!$H$3:$H$43,$A149,'Loss time 23-10'!$G$3:$G$43,D$148)</f>
        <v>9</v>
      </c>
      <c r="E149" s="23" t="n">
        <f aca="false">SUMIFS('Loss time 23-10'!$Q$3:$Q$43,'Loss time 23-10'!$H$3:$H$43,$A149,'Loss time 23-10'!$G$3:$G$43,E$148)</f>
        <v>9.5</v>
      </c>
      <c r="F149" s="23" t="n">
        <f aca="false">SUMIFS('Loss time 23-10'!$Q$3:$Q$43,'Loss time 23-10'!$H$3:$H$43,$A149,'Loss time 23-10'!$G$3:$G$43,F$148)</f>
        <v>25</v>
      </c>
      <c r="G149" s="23" t="n">
        <f aca="false">SUMIFS('Loss time 23-10'!$Q$3:$Q$43,'Loss time 23-10'!$H$3:$H$43,$A149,'Loss time 23-10'!$G$3:$G$43,G$148)</f>
        <v>0</v>
      </c>
      <c r="H149" s="23" t="n">
        <f aca="false">SUMIFS('Loss time 23-10'!$Q$3:$Q$43,'Loss time 23-10'!$H$3:$H$43,$A149,'Loss time 23-10'!$G$3:$G$43,H$148)</f>
        <v>0</v>
      </c>
      <c r="I149" s="23" t="n">
        <f aca="false">SUMIFS('Loss time 23-10'!$Q$3:$Q$43,'Loss time 23-10'!$H$3:$H$43,$A149,'Loss time 23-10'!$G$3:$G$43,I$148)</f>
        <v>0</v>
      </c>
      <c r="J149" s="24" t="n">
        <f aca="false">SUM(C149:I149)</f>
        <v>47</v>
      </c>
    </row>
    <row r="150" customFormat="false" ht="15" hidden="false" customHeight="false" outlineLevel="0" collapsed="false">
      <c r="A150" s="22" t="s">
        <v>30</v>
      </c>
      <c r="B150" s="22" t="s">
        <v>31</v>
      </c>
      <c r="C150" s="23" t="n">
        <f aca="false">SUMIFS('Loss time 23-10'!$Q$3:$Q$43,'Loss time 23-10'!$H$3:$H$43,$A150,'Loss time 23-10'!$G$3:$G$43,C$148)</f>
        <v>12.5</v>
      </c>
      <c r="D150" s="23" t="n">
        <f aca="false">SUMIFS('Loss time 23-10'!$Q$3:$Q$43,'Loss time 23-10'!$H$3:$H$43,$A150,'Loss time 23-10'!$G$3:$G$43,D$148)</f>
        <v>112.5</v>
      </c>
      <c r="E150" s="23" t="n">
        <f aca="false">SUMIFS('Loss time 23-10'!$Q$3:$Q$43,'Loss time 23-10'!$H$3:$H$43,$A150,'Loss time 23-10'!$G$3:$G$43,E$148)</f>
        <v>75</v>
      </c>
      <c r="F150" s="23" t="n">
        <f aca="false">SUMIFS('Loss time 23-10'!$Q$3:$Q$43,'Loss time 23-10'!$H$3:$H$43,$A150,'Loss time 23-10'!$G$3:$G$43,F$148)</f>
        <v>25</v>
      </c>
      <c r="G150" s="23" t="n">
        <f aca="false">SUMIFS('Loss time 23-10'!$Q$3:$Q$43,'Loss time 23-10'!$H$3:$H$43,$A150,'Loss time 23-10'!$G$3:$G$43,G$148)</f>
        <v>0</v>
      </c>
      <c r="H150" s="23" t="n">
        <f aca="false">SUMIFS('Loss time 23-10'!$Q$3:$Q$43,'Loss time 23-10'!$H$3:$H$43,$A150,'Loss time 23-10'!$G$3:$G$43,H$148)</f>
        <v>0</v>
      </c>
      <c r="I150" s="23" t="n">
        <f aca="false">SUMIFS('Loss time 23-10'!$Q$3:$Q$43,'Loss time 23-10'!$H$3:$H$43,$A150,'Loss time 23-10'!$G$3:$G$43,I$148)</f>
        <v>0</v>
      </c>
      <c r="J150" s="24" t="n">
        <f aca="false">SUM(C150:I150)</f>
        <v>225</v>
      </c>
    </row>
    <row r="151" customFormat="false" ht="15" hidden="false" customHeight="false" outlineLevel="0" collapsed="false">
      <c r="A151" s="22" t="s">
        <v>48</v>
      </c>
      <c r="B151" s="22" t="s">
        <v>49</v>
      </c>
      <c r="C151" s="23" t="n">
        <f aca="false">SUMIFS('Loss time 23-10'!$Q$3:$Q$43,'Loss time 23-10'!$H$3:$H$43,$A151,'Loss time 23-10'!$G$3:$G$43,C$148)</f>
        <v>0</v>
      </c>
      <c r="D151" s="23" t="n">
        <f aca="false">SUMIFS('Loss time 23-10'!$Q$3:$Q$43,'Loss time 23-10'!$H$3:$H$43,$A151,'Loss time 23-10'!$G$3:$G$43,D$148)</f>
        <v>0</v>
      </c>
      <c r="E151" s="23" t="n">
        <f aca="false">SUMIFS('Loss time 23-10'!$Q$3:$Q$43,'Loss time 23-10'!$H$3:$H$43,$A151,'Loss time 23-10'!$G$3:$G$43,E$148)</f>
        <v>0</v>
      </c>
      <c r="F151" s="23" t="n">
        <f aca="false">SUMIFS('Loss time 23-10'!$Q$3:$Q$43,'Loss time 23-10'!$H$3:$H$43,$A151,'Loss time 23-10'!$G$3:$G$43,F$148)</f>
        <v>0</v>
      </c>
      <c r="G151" s="23" t="n">
        <f aca="false">SUMIFS('Loss time 23-10'!$Q$3:$Q$43,'Loss time 23-10'!$H$3:$H$43,$A151,'Loss time 23-10'!$G$3:$G$43,G$148)</f>
        <v>0</v>
      </c>
      <c r="H151" s="23" t="n">
        <f aca="false">SUMIFS('Loss time 23-10'!$Q$3:$Q$43,'Loss time 23-10'!$H$3:$H$43,$A151,'Loss time 23-10'!$G$3:$G$43,H$148)</f>
        <v>8</v>
      </c>
      <c r="I151" s="23" t="n">
        <f aca="false">SUMIFS('Loss time 23-10'!$Q$3:$Q$43,'Loss time 23-10'!$H$3:$H$43,$A151,'Loss time 23-10'!$G$3:$G$43,I$148)</f>
        <v>0</v>
      </c>
      <c r="J151" s="24" t="n">
        <f aca="false">SUM(C151:I151)</f>
        <v>8</v>
      </c>
    </row>
    <row r="152" customFormat="false" ht="15" hidden="false" customHeight="false" outlineLevel="0" collapsed="false">
      <c r="A152" s="22" t="s">
        <v>52</v>
      </c>
      <c r="B152" s="22" t="s">
        <v>53</v>
      </c>
      <c r="C152" s="23" t="n">
        <f aca="false">SUMIFS('Loss time 23-10'!$Q$3:$Q$43,'Loss time 23-10'!$H$3:$H$43,$A152,'Loss time 23-10'!$G$3:$G$43,C$148)</f>
        <v>0</v>
      </c>
      <c r="D152" s="23" t="n">
        <f aca="false">SUMIFS('Loss time 23-10'!$Q$3:$Q$43,'Loss time 23-10'!$H$3:$H$43,$A152,'Loss time 23-10'!$G$3:$G$43,D$148)</f>
        <v>0</v>
      </c>
      <c r="E152" s="23" t="n">
        <f aca="false">SUMIFS('Loss time 23-10'!$Q$3:$Q$43,'Loss time 23-10'!$H$3:$H$43,$A152,'Loss time 23-10'!$G$3:$G$43,E$148)</f>
        <v>31.5</v>
      </c>
      <c r="F152" s="23" t="n">
        <f aca="false">SUMIFS('Loss time 23-10'!$Q$3:$Q$43,'Loss time 23-10'!$H$3:$H$43,$A152,'Loss time 23-10'!$G$3:$G$43,F$148)</f>
        <v>117</v>
      </c>
      <c r="G152" s="23" t="n">
        <f aca="false">SUMIFS('Loss time 23-10'!$Q$3:$Q$43,'Loss time 23-10'!$H$3:$H$43,$A152,'Loss time 23-10'!$G$3:$G$43,G$148)</f>
        <v>0</v>
      </c>
      <c r="H152" s="23" t="n">
        <f aca="false">SUMIFS('Loss time 23-10'!$Q$3:$Q$43,'Loss time 23-10'!$H$3:$H$43,$A152,'Loss time 23-10'!$G$3:$G$43,H$148)</f>
        <v>49.5</v>
      </c>
      <c r="I152" s="23" t="n">
        <f aca="false">SUMIFS('Loss time 23-10'!$Q$3:$Q$43,'Loss time 23-10'!$H$3:$H$43,$A152,'Loss time 23-10'!$G$3:$G$43,I$148)</f>
        <v>0</v>
      </c>
      <c r="J152" s="24" t="n">
        <f aca="false">SUM(C152:I152)</f>
        <v>198</v>
      </c>
    </row>
    <row r="153" customFormat="false" ht="15" hidden="false" customHeight="false" outlineLevel="0" collapsed="false">
      <c r="A153" s="25" t="s">
        <v>75</v>
      </c>
      <c r="B153" s="25"/>
      <c r="C153" s="24" t="n">
        <f aca="false">SUM(C149:C152)</f>
        <v>16</v>
      </c>
      <c r="D153" s="24" t="n">
        <f aca="false">SUM(D149:D152)</f>
        <v>121.5</v>
      </c>
      <c r="E153" s="24" t="n">
        <f aca="false">SUM(E149:E152)</f>
        <v>116</v>
      </c>
      <c r="F153" s="24" t="n">
        <f aca="false">SUM(F149:F152)</f>
        <v>167</v>
      </c>
      <c r="G153" s="24" t="n">
        <f aca="false">SUM(G149:G152)</f>
        <v>0</v>
      </c>
      <c r="H153" s="24" t="n">
        <f aca="false">SUM(H149:H152)</f>
        <v>57.5</v>
      </c>
      <c r="I153" s="24" t="n">
        <f aca="false">SUM(I149:I152)</f>
        <v>0</v>
      </c>
      <c r="J153" s="24" t="n">
        <f aca="false">SUM(J149:J152)</f>
        <v>478</v>
      </c>
    </row>
    <row r="156" customFormat="false" ht="15" hidden="false" customHeight="false" outlineLevel="0" collapsed="false">
      <c r="A156" s="18" t="s">
        <v>365</v>
      </c>
    </row>
    <row r="157" customFormat="false" ht="25.35" hidden="false" customHeight="false" outlineLevel="0" collapsed="false">
      <c r="A157" s="2" t="s">
        <v>8</v>
      </c>
      <c r="B157" s="2" t="s">
        <v>347</v>
      </c>
      <c r="C157" s="2" t="s">
        <v>18</v>
      </c>
      <c r="D157" s="2" t="s">
        <v>23</v>
      </c>
      <c r="E157" s="2" t="s">
        <v>25</v>
      </c>
      <c r="F157" s="2" t="s">
        <v>28</v>
      </c>
      <c r="G157" s="2" t="s">
        <v>68</v>
      </c>
      <c r="H157" s="2" t="s">
        <v>72</v>
      </c>
      <c r="I157" s="2" t="s">
        <v>348</v>
      </c>
      <c r="J157" s="2" t="s">
        <v>75</v>
      </c>
    </row>
    <row r="158" customFormat="false" ht="15" hidden="false" customHeight="false" outlineLevel="0" collapsed="false">
      <c r="A158" s="22" t="s">
        <v>19</v>
      </c>
      <c r="B158" s="22" t="s">
        <v>20</v>
      </c>
      <c r="C158" s="23" t="n">
        <f aca="false">SUMIFS('Loss time 24-10'!$Q$3:$Q$41,'Loss time 24-10'!$H$3:$H$41,$A158,'Loss time 24-10'!$G$3:$G$41,C$157)</f>
        <v>3.5</v>
      </c>
      <c r="D158" s="23" t="n">
        <f aca="false">SUMIFS('Loss time 24-10'!$Q$3:$Q$41,'Loss time 24-10'!$H$3:$H$41,$A158,'Loss time 24-10'!$G$3:$G$41,D$157)</f>
        <v>9</v>
      </c>
      <c r="E158" s="23" t="n">
        <f aca="false">SUMIFS('Loss time 24-10'!$Q$3:$Q$41,'Loss time 24-10'!$H$3:$H$41,$A158,'Loss time 24-10'!$G$3:$G$41,E$157)</f>
        <v>9.5</v>
      </c>
      <c r="F158" s="23" t="n">
        <f aca="false">SUMIFS('Loss time 24-10'!$Q$3:$Q$41,'Loss time 24-10'!$H$3:$H$41,$A158,'Loss time 24-10'!$G$3:$G$41,F$157)</f>
        <v>16</v>
      </c>
      <c r="G158" s="23" t="n">
        <f aca="false">SUMIFS('Loss time 24-10'!$Q$3:$Q$41,'Loss time 24-10'!$H$3:$H$41,$A158,'Loss time 24-10'!$G$3:$G$41,G$157)</f>
        <v>0</v>
      </c>
      <c r="H158" s="23" t="n">
        <f aca="false">SUMIFS('Loss time 24-10'!$Q$3:$Q$41,'Loss time 24-10'!$H$3:$H$41,$A158,'Loss time 24-10'!$G$3:$G$41,H$157)</f>
        <v>0</v>
      </c>
      <c r="I158" s="23" t="n">
        <f aca="false">SUMIFS('Loss time 24-10'!$Q$3:$Q$41,'Loss time 24-10'!$H$3:$H$41,$A158,'Loss time 24-10'!$G$3:$G$41,I$157)</f>
        <v>0</v>
      </c>
      <c r="J158" s="24" t="n">
        <f aca="false">SUM(C158:I158)</f>
        <v>38</v>
      </c>
    </row>
    <row r="159" customFormat="false" ht="15" hidden="false" customHeight="false" outlineLevel="0" collapsed="false">
      <c r="A159" s="22" t="s">
        <v>30</v>
      </c>
      <c r="B159" s="22" t="s">
        <v>31</v>
      </c>
      <c r="C159" s="23" t="n">
        <f aca="false">SUMIFS('Loss time 24-10'!$Q$3:$Q$41,'Loss time 24-10'!$H$3:$H$41,$A159,'Loss time 24-10'!$G$3:$G$41,C$157)</f>
        <v>8</v>
      </c>
      <c r="D159" s="23" t="n">
        <f aca="false">SUMIFS('Loss time 24-10'!$Q$3:$Q$41,'Loss time 24-10'!$H$3:$H$41,$A159,'Loss time 24-10'!$G$3:$G$41,D$157)</f>
        <v>72</v>
      </c>
      <c r="E159" s="23" t="n">
        <f aca="false">SUMIFS('Loss time 24-10'!$Q$3:$Q$41,'Loss time 24-10'!$H$3:$H$41,$A159,'Loss time 24-10'!$G$3:$G$41,E$157)</f>
        <v>48</v>
      </c>
      <c r="F159" s="23" t="n">
        <f aca="false">SUMIFS('Loss time 24-10'!$Q$3:$Q$41,'Loss time 24-10'!$H$3:$H$41,$A159,'Loss time 24-10'!$G$3:$G$41,F$157)</f>
        <v>16</v>
      </c>
      <c r="G159" s="23" t="n">
        <f aca="false">SUMIFS('Loss time 24-10'!$Q$3:$Q$41,'Loss time 24-10'!$H$3:$H$41,$A159,'Loss time 24-10'!$G$3:$G$41,G$157)</f>
        <v>0</v>
      </c>
      <c r="H159" s="23" t="n">
        <f aca="false">SUMIFS('Loss time 24-10'!$Q$3:$Q$41,'Loss time 24-10'!$H$3:$H$41,$A159,'Loss time 24-10'!$G$3:$G$41,H$157)</f>
        <v>0</v>
      </c>
      <c r="I159" s="23" t="n">
        <f aca="false">SUMIFS('Loss time 24-10'!$Q$3:$Q$41,'Loss time 24-10'!$H$3:$H$41,$A159,'Loss time 24-10'!$G$3:$G$41,I$157)</f>
        <v>0</v>
      </c>
      <c r="J159" s="24" t="n">
        <f aca="false">SUM(C159:I159)</f>
        <v>144</v>
      </c>
    </row>
    <row r="160" customFormat="false" ht="15" hidden="false" customHeight="false" outlineLevel="0" collapsed="false">
      <c r="A160" s="22" t="s">
        <v>48</v>
      </c>
      <c r="B160" s="22" t="s">
        <v>49</v>
      </c>
      <c r="C160" s="23" t="n">
        <f aca="false">SUMIFS('Loss time 24-10'!$Q$3:$Q$41,'Loss time 24-10'!$H$3:$H$41,$A160,'Loss time 24-10'!$G$3:$G$41,C$157)</f>
        <v>0</v>
      </c>
      <c r="D160" s="23" t="n">
        <f aca="false">SUMIFS('Loss time 24-10'!$Q$3:$Q$41,'Loss time 24-10'!$H$3:$H$41,$A160,'Loss time 24-10'!$G$3:$G$41,D$157)</f>
        <v>0</v>
      </c>
      <c r="E160" s="23" t="n">
        <f aca="false">SUMIFS('Loss time 24-10'!$Q$3:$Q$41,'Loss time 24-10'!$H$3:$H$41,$A160,'Loss time 24-10'!$G$3:$G$41,E$157)</f>
        <v>0</v>
      </c>
      <c r="F160" s="23" t="n">
        <f aca="false">SUMIFS('Loss time 24-10'!$Q$3:$Q$41,'Loss time 24-10'!$H$3:$H$41,$A160,'Loss time 24-10'!$G$3:$G$41,F$157)</f>
        <v>0</v>
      </c>
      <c r="G160" s="23" t="n">
        <f aca="false">SUMIFS('Loss time 24-10'!$Q$3:$Q$41,'Loss time 24-10'!$H$3:$H$41,$A160,'Loss time 24-10'!$G$3:$G$41,G$157)</f>
        <v>0</v>
      </c>
      <c r="H160" s="23" t="n">
        <f aca="false">SUMIFS('Loss time 24-10'!$Q$3:$Q$41,'Loss time 24-10'!$H$3:$H$41,$A160,'Loss time 24-10'!$G$3:$G$41,H$157)</f>
        <v>0</v>
      </c>
      <c r="I160" s="23" t="n">
        <f aca="false">SUMIFS('Loss time 24-10'!$Q$3:$Q$41,'Loss time 24-10'!$H$3:$H$41,$A160,'Loss time 24-10'!$G$3:$G$41,I$157)</f>
        <v>0</v>
      </c>
      <c r="J160" s="24" t="n">
        <f aca="false">SUM(C160:I160)</f>
        <v>0</v>
      </c>
    </row>
    <row r="161" customFormat="false" ht="15" hidden="false" customHeight="false" outlineLevel="0" collapsed="false">
      <c r="A161" s="22" t="s">
        <v>52</v>
      </c>
      <c r="B161" s="22" t="s">
        <v>53</v>
      </c>
      <c r="C161" s="23" t="n">
        <f aca="false">SUMIFS('Loss time 24-10'!$Q$3:$Q$41,'Loss time 24-10'!$H$3:$H$41,$A161,'Loss time 24-10'!$G$3:$G$41,C$157)</f>
        <v>0</v>
      </c>
      <c r="D161" s="23" t="n">
        <f aca="false">SUMIFS('Loss time 24-10'!$Q$3:$Q$41,'Loss time 24-10'!$H$3:$H$41,$A161,'Loss time 24-10'!$G$3:$G$41,D$157)</f>
        <v>0</v>
      </c>
      <c r="E161" s="23" t="n">
        <f aca="false">SUMIFS('Loss time 24-10'!$Q$3:$Q$41,'Loss time 24-10'!$H$3:$H$41,$A161,'Loss time 24-10'!$G$3:$G$41,E$157)</f>
        <v>31.5</v>
      </c>
      <c r="F161" s="23" t="n">
        <f aca="false">SUMIFS('Loss time 24-10'!$Q$3:$Q$41,'Loss time 24-10'!$H$3:$H$41,$A161,'Loss time 24-10'!$G$3:$G$41,F$157)</f>
        <v>90</v>
      </c>
      <c r="G161" s="23" t="n">
        <f aca="false">SUMIFS('Loss time 24-10'!$Q$3:$Q$41,'Loss time 24-10'!$H$3:$H$41,$A161,'Loss time 24-10'!$G$3:$G$41,G$157)</f>
        <v>0</v>
      </c>
      <c r="H161" s="23" t="n">
        <f aca="false">SUMIFS('Loss time 24-10'!$Q$3:$Q$41,'Loss time 24-10'!$H$3:$H$41,$A161,'Loss time 24-10'!$G$3:$G$41,H$157)</f>
        <v>45</v>
      </c>
      <c r="I161" s="23" t="n">
        <f aca="false">SUMIFS('Loss time 24-10'!$Q$3:$Q$41,'Loss time 24-10'!$H$3:$H$41,$A161,'Loss time 24-10'!$G$3:$G$41,I$157)</f>
        <v>0</v>
      </c>
      <c r="J161" s="24" t="n">
        <f aca="false">SUM(C161:I161)</f>
        <v>166.5</v>
      </c>
    </row>
    <row r="162" customFormat="false" ht="15" hidden="false" customHeight="false" outlineLevel="0" collapsed="false">
      <c r="A162" s="25" t="s">
        <v>75</v>
      </c>
      <c r="B162" s="25"/>
      <c r="C162" s="24" t="n">
        <f aca="false">SUM(C158:C161)</f>
        <v>11.5</v>
      </c>
      <c r="D162" s="24" t="n">
        <f aca="false">SUM(D158:D161)</f>
        <v>81</v>
      </c>
      <c r="E162" s="24" t="n">
        <f aca="false">SUM(E158:E161)</f>
        <v>89</v>
      </c>
      <c r="F162" s="24" t="n">
        <f aca="false">SUM(F158:F161)</f>
        <v>122</v>
      </c>
      <c r="G162" s="24" t="n">
        <f aca="false">SUM(G158:G161)</f>
        <v>0</v>
      </c>
      <c r="H162" s="24" t="n">
        <f aca="false">SUM(H158:H161)</f>
        <v>45</v>
      </c>
      <c r="I162" s="24" t="n">
        <f aca="false">SUM(I158:I161)</f>
        <v>0</v>
      </c>
      <c r="J162" s="24" t="n">
        <f aca="false">SUM(J158:J161)</f>
        <v>348.5</v>
      </c>
    </row>
    <row r="165" customFormat="false" ht="15" hidden="false" customHeight="false" outlineLevel="0" collapsed="false">
      <c r="A165" s="18" t="s">
        <v>366</v>
      </c>
    </row>
    <row r="166" customFormat="false" ht="25.35" hidden="false" customHeight="false" outlineLevel="0" collapsed="false">
      <c r="A166" s="2" t="s">
        <v>8</v>
      </c>
      <c r="B166" s="2" t="s">
        <v>347</v>
      </c>
      <c r="C166" s="2" t="s">
        <v>18</v>
      </c>
      <c r="D166" s="2" t="s">
        <v>23</v>
      </c>
      <c r="E166" s="2" t="s">
        <v>25</v>
      </c>
      <c r="F166" s="2" t="s">
        <v>28</v>
      </c>
      <c r="G166" s="2" t="s">
        <v>68</v>
      </c>
      <c r="H166" s="2" t="s">
        <v>72</v>
      </c>
      <c r="I166" s="2" t="s">
        <v>348</v>
      </c>
      <c r="J166" s="2" t="s">
        <v>75</v>
      </c>
    </row>
    <row r="167" customFormat="false" ht="15" hidden="false" customHeight="false" outlineLevel="0" collapsed="false">
      <c r="A167" s="22" t="s">
        <v>19</v>
      </c>
      <c r="B167" s="22" t="s">
        <v>20</v>
      </c>
      <c r="C167" s="23" t="n">
        <f aca="false">SUMIFS('Loss time 25-10'!$Q$3:$Q$17,'Loss time 25-10'!$H$3:$H$17,$A167,'Loss time 25-10'!$G$3:$G$17,C$166)</f>
        <v>0</v>
      </c>
      <c r="D167" s="23" t="n">
        <f aca="false">SUMIFS('Loss time 25-10'!$Q$3:$Q$17,'Loss time 25-10'!$H$3:$H$17,$A167,'Loss time 25-10'!$G$3:$G$17,D$166)</f>
        <v>0</v>
      </c>
      <c r="E167" s="23" t="n">
        <f aca="false">SUMIFS('Loss time 25-10'!$Q$3:$Q$17,'Loss time 25-10'!$H$3:$H$17,$A167,'Loss time 25-10'!$G$3:$G$17,E$166)</f>
        <v>0</v>
      </c>
      <c r="F167" s="23" t="n">
        <f aca="false">SUMIFS('Loss time 25-10'!$Q$3:$Q$17,'Loss time 25-10'!$H$3:$H$17,$A167,'Loss time 25-10'!$G$3:$G$17,F$166)</f>
        <v>16</v>
      </c>
      <c r="G167" s="23" t="n">
        <f aca="false">SUMIFS('Loss time 25-10'!$Q$3:$Q$17,'Loss time 25-10'!$H$3:$H$17,$A167,'Loss time 25-10'!$G$3:$G$17,G$166)</f>
        <v>0</v>
      </c>
      <c r="H167" s="23" t="n">
        <f aca="false">SUMIFS('Loss time 25-10'!$Q$3:$Q$17,'Loss time 25-10'!$H$3:$H$17,$A167,'Loss time 25-10'!$G$3:$G$17,H$166)</f>
        <v>0</v>
      </c>
      <c r="I167" s="23" t="n">
        <f aca="false">SUMIFS('Loss time 25-10'!$Q$3:$Q$17,'Loss time 25-10'!$H$3:$H$17,$A167,'Loss time 25-10'!$G$3:$G$17,I$166)</f>
        <v>0</v>
      </c>
      <c r="J167" s="24" t="n">
        <f aca="false">SUM(C167:I167)</f>
        <v>16</v>
      </c>
    </row>
    <row r="168" customFormat="false" ht="15" hidden="false" customHeight="false" outlineLevel="0" collapsed="false">
      <c r="A168" s="22" t="s">
        <v>30</v>
      </c>
      <c r="B168" s="22" t="s">
        <v>31</v>
      </c>
      <c r="C168" s="23" t="n">
        <f aca="false">SUMIFS('Loss time 25-10'!$Q$3:$Q$17,'Loss time 25-10'!$H$3:$H$17,$A168,'Loss time 25-10'!$G$3:$G$17,C$166)</f>
        <v>0</v>
      </c>
      <c r="D168" s="23" t="n">
        <f aca="false">SUMIFS('Loss time 25-10'!$Q$3:$Q$17,'Loss time 25-10'!$H$3:$H$17,$A168,'Loss time 25-10'!$G$3:$G$17,D$166)</f>
        <v>0</v>
      </c>
      <c r="E168" s="23" t="n">
        <f aca="false">SUMIFS('Loss time 25-10'!$Q$3:$Q$17,'Loss time 25-10'!$H$3:$H$17,$A168,'Loss time 25-10'!$G$3:$G$17,E$166)</f>
        <v>0</v>
      </c>
      <c r="F168" s="23" t="n">
        <f aca="false">SUMIFS('Loss time 25-10'!$Q$3:$Q$17,'Loss time 25-10'!$H$3:$H$17,$A168,'Loss time 25-10'!$G$3:$G$17,F$166)</f>
        <v>16</v>
      </c>
      <c r="G168" s="23" t="n">
        <f aca="false">SUMIFS('Loss time 25-10'!$Q$3:$Q$17,'Loss time 25-10'!$H$3:$H$17,$A168,'Loss time 25-10'!$G$3:$G$17,G$166)</f>
        <v>0</v>
      </c>
      <c r="H168" s="23" t="n">
        <f aca="false">SUMIFS('Loss time 25-10'!$Q$3:$Q$17,'Loss time 25-10'!$H$3:$H$17,$A168,'Loss time 25-10'!$G$3:$G$17,H$166)</f>
        <v>0</v>
      </c>
      <c r="I168" s="23" t="n">
        <f aca="false">SUMIFS('Loss time 25-10'!$Q$3:$Q$17,'Loss time 25-10'!$H$3:$H$17,$A168,'Loss time 25-10'!$G$3:$G$17,I$166)</f>
        <v>0</v>
      </c>
      <c r="J168" s="24" t="n">
        <f aca="false">SUM(C168:I168)</f>
        <v>16</v>
      </c>
    </row>
    <row r="169" customFormat="false" ht="15" hidden="false" customHeight="false" outlineLevel="0" collapsed="false">
      <c r="A169" s="22" t="s">
        <v>48</v>
      </c>
      <c r="B169" s="22" t="s">
        <v>49</v>
      </c>
      <c r="C169" s="23" t="n">
        <f aca="false">SUMIFS('Loss time 25-10'!$Q$3:$Q$17,'Loss time 25-10'!$H$3:$H$17,$A169,'Loss time 25-10'!$G$3:$G$17,C$166)</f>
        <v>0</v>
      </c>
      <c r="D169" s="23" t="n">
        <f aca="false">SUMIFS('Loss time 25-10'!$Q$3:$Q$17,'Loss time 25-10'!$H$3:$H$17,$A169,'Loss time 25-10'!$G$3:$G$17,D$166)</f>
        <v>0</v>
      </c>
      <c r="E169" s="23" t="n">
        <f aca="false">SUMIFS('Loss time 25-10'!$Q$3:$Q$17,'Loss time 25-10'!$H$3:$H$17,$A169,'Loss time 25-10'!$G$3:$G$17,E$166)</f>
        <v>0</v>
      </c>
      <c r="F169" s="23" t="n">
        <f aca="false">SUMIFS('Loss time 25-10'!$Q$3:$Q$17,'Loss time 25-10'!$H$3:$H$17,$A169,'Loss time 25-10'!$G$3:$G$17,F$166)</f>
        <v>0</v>
      </c>
      <c r="G169" s="23" t="n">
        <f aca="false">SUMIFS('Loss time 25-10'!$Q$3:$Q$17,'Loss time 25-10'!$H$3:$H$17,$A169,'Loss time 25-10'!$G$3:$G$17,G$166)</f>
        <v>0</v>
      </c>
      <c r="H169" s="23" t="n">
        <f aca="false">SUMIFS('Loss time 25-10'!$Q$3:$Q$17,'Loss time 25-10'!$H$3:$H$17,$A169,'Loss time 25-10'!$G$3:$G$17,H$166)</f>
        <v>0</v>
      </c>
      <c r="I169" s="23" t="n">
        <f aca="false">SUMIFS('Loss time 25-10'!$Q$3:$Q$17,'Loss time 25-10'!$H$3:$H$17,$A169,'Loss time 25-10'!$G$3:$G$17,I$166)</f>
        <v>0</v>
      </c>
      <c r="J169" s="24" t="n">
        <f aca="false">SUM(C169:I169)</f>
        <v>0</v>
      </c>
    </row>
    <row r="170" customFormat="false" ht="15" hidden="false" customHeight="false" outlineLevel="0" collapsed="false">
      <c r="A170" s="22" t="s">
        <v>52</v>
      </c>
      <c r="B170" s="22" t="s">
        <v>53</v>
      </c>
      <c r="C170" s="23" t="n">
        <f aca="false">SUMIFS('Loss time 25-10'!$Q$3:$Q$17,'Loss time 25-10'!$H$3:$H$17,$A170,'Loss time 25-10'!$G$3:$G$17,C$166)</f>
        <v>0</v>
      </c>
      <c r="D170" s="23" t="n">
        <f aca="false">SUMIFS('Loss time 25-10'!$Q$3:$Q$17,'Loss time 25-10'!$H$3:$H$17,$A170,'Loss time 25-10'!$G$3:$G$17,D$166)</f>
        <v>0</v>
      </c>
      <c r="E170" s="23" t="n">
        <f aca="false">SUMIFS('Loss time 25-10'!$Q$3:$Q$17,'Loss time 25-10'!$H$3:$H$17,$A170,'Loss time 25-10'!$G$3:$G$17,E$166)</f>
        <v>0</v>
      </c>
      <c r="F170" s="23" t="n">
        <f aca="false">SUMIFS('Loss time 25-10'!$Q$3:$Q$17,'Loss time 25-10'!$H$3:$H$17,$A170,'Loss time 25-10'!$G$3:$G$17,F$166)</f>
        <v>126</v>
      </c>
      <c r="G170" s="23" t="n">
        <f aca="false">SUMIFS('Loss time 25-10'!$Q$3:$Q$17,'Loss time 25-10'!$H$3:$H$17,$A170,'Loss time 25-10'!$G$3:$G$17,G$166)</f>
        <v>0</v>
      </c>
      <c r="H170" s="23" t="n">
        <f aca="false">SUMIFS('Loss time 25-10'!$Q$3:$Q$17,'Loss time 25-10'!$H$3:$H$17,$A170,'Loss time 25-10'!$G$3:$G$17,H$166)</f>
        <v>0</v>
      </c>
      <c r="I170" s="23" t="n">
        <f aca="false">SUMIFS('Loss time 25-10'!$Q$3:$Q$17,'Loss time 25-10'!$H$3:$H$17,$A170,'Loss time 25-10'!$G$3:$G$17,I$166)</f>
        <v>0</v>
      </c>
      <c r="J170" s="24" t="n">
        <f aca="false">SUM(C170:I170)</f>
        <v>126</v>
      </c>
    </row>
    <row r="171" customFormat="false" ht="15" hidden="false" customHeight="false" outlineLevel="0" collapsed="false">
      <c r="A171" s="25" t="s">
        <v>75</v>
      </c>
      <c r="B171" s="25"/>
      <c r="C171" s="24" t="n">
        <f aca="false">SUM(C167:C170)</f>
        <v>0</v>
      </c>
      <c r="D171" s="24" t="n">
        <f aca="false">SUM(D167:D170)</f>
        <v>0</v>
      </c>
      <c r="E171" s="24" t="n">
        <f aca="false">SUM(E167:E170)</f>
        <v>0</v>
      </c>
      <c r="F171" s="24" t="n">
        <f aca="false">SUM(F167:F170)</f>
        <v>158</v>
      </c>
      <c r="G171" s="24" t="n">
        <f aca="false">SUM(G167:G170)</f>
        <v>0</v>
      </c>
      <c r="H171" s="24" t="n">
        <f aca="false">SUM(H167:H170)</f>
        <v>0</v>
      </c>
      <c r="I171" s="24" t="n">
        <f aca="false">SUM(I167:I170)</f>
        <v>0</v>
      </c>
      <c r="J171" s="24" t="n">
        <f aca="false">SUM(J167:J170)</f>
        <v>158</v>
      </c>
    </row>
    <row r="174" customFormat="false" ht="15" hidden="false" customHeight="false" outlineLevel="0" collapsed="false">
      <c r="A174" s="18" t="s">
        <v>367</v>
      </c>
    </row>
    <row r="175" customFormat="false" ht="25.35" hidden="false" customHeight="false" outlineLevel="0" collapsed="false">
      <c r="A175" s="2" t="s">
        <v>8</v>
      </c>
      <c r="B175" s="2" t="s">
        <v>347</v>
      </c>
      <c r="C175" s="2" t="s">
        <v>18</v>
      </c>
      <c r="D175" s="2" t="s">
        <v>23</v>
      </c>
      <c r="E175" s="2" t="s">
        <v>25</v>
      </c>
      <c r="F175" s="2" t="s">
        <v>28</v>
      </c>
      <c r="G175" s="2" t="s">
        <v>68</v>
      </c>
      <c r="H175" s="2" t="s">
        <v>72</v>
      </c>
      <c r="I175" s="2" t="s">
        <v>348</v>
      </c>
      <c r="J175" s="2" t="s">
        <v>75</v>
      </c>
    </row>
    <row r="176" customFormat="false" ht="15" hidden="false" customHeight="false" outlineLevel="0" collapsed="false">
      <c r="A176" s="22" t="s">
        <v>19</v>
      </c>
      <c r="B176" s="22" t="s">
        <v>20</v>
      </c>
      <c r="C176" s="23" t="n">
        <f aca="false">SUMIFS('Loss time 26-10'!$Q$3:$Q$41,'Loss time 26-10'!$H$3:$H$41,$A176,'Loss time 26-10'!$G$3:$G$41,C$175)</f>
        <v>3.5</v>
      </c>
      <c r="D176" s="23" t="n">
        <f aca="false">SUMIFS('Loss time 26-10'!$Q$3:$Q$41,'Loss time 26-10'!$H$3:$H$41,$A176,'Loss time 26-10'!$G$3:$G$41,D$175)</f>
        <v>9</v>
      </c>
      <c r="E176" s="23" t="n">
        <f aca="false">SUMIFS('Loss time 26-10'!$Q$3:$Q$41,'Loss time 26-10'!$H$3:$H$41,$A176,'Loss time 26-10'!$G$3:$G$41,E$175)</f>
        <v>9.5</v>
      </c>
      <c r="F176" s="23" t="n">
        <f aca="false">SUMIFS('Loss time 26-10'!$Q$3:$Q$41,'Loss time 26-10'!$H$3:$H$41,$A176,'Loss time 26-10'!$G$3:$G$41,F$175)</f>
        <v>25</v>
      </c>
      <c r="G176" s="23" t="n">
        <f aca="false">SUMIFS('Loss time 26-10'!$Q$3:$Q$41,'Loss time 26-10'!$H$3:$H$41,$A176,'Loss time 26-10'!$G$3:$G$41,G$175)</f>
        <v>0</v>
      </c>
      <c r="H176" s="23" t="n">
        <f aca="false">SUMIFS('Loss time 26-10'!$Q$3:$Q$41,'Loss time 26-10'!$H$3:$H$41,$A176,'Loss time 26-10'!$G$3:$G$41,H$175)</f>
        <v>0</v>
      </c>
      <c r="I176" s="23" t="n">
        <f aca="false">SUMIFS('Loss time 26-10'!$Q$3:$Q$41,'Loss time 26-10'!$H$3:$H$41,$A176,'Loss time 26-10'!$G$3:$G$41,I$175)</f>
        <v>0</v>
      </c>
      <c r="J176" s="24" t="n">
        <f aca="false">SUM(C176:I176)</f>
        <v>47</v>
      </c>
    </row>
    <row r="177" customFormat="false" ht="15" hidden="false" customHeight="false" outlineLevel="0" collapsed="false">
      <c r="A177" s="22" t="s">
        <v>30</v>
      </c>
      <c r="B177" s="22" t="s">
        <v>31</v>
      </c>
      <c r="C177" s="23" t="n">
        <f aca="false">SUMIFS('Loss time 26-10'!$Q$3:$Q$41,'Loss time 26-10'!$H$3:$H$41,$A177,'Loss time 26-10'!$G$3:$G$41,C$175)</f>
        <v>12.5</v>
      </c>
      <c r="D177" s="23" t="n">
        <f aca="false">SUMIFS('Loss time 26-10'!$Q$3:$Q$41,'Loss time 26-10'!$H$3:$H$41,$A177,'Loss time 26-10'!$G$3:$G$41,D$175)</f>
        <v>112.5</v>
      </c>
      <c r="E177" s="23" t="n">
        <f aca="false">SUMIFS('Loss time 26-10'!$Q$3:$Q$41,'Loss time 26-10'!$H$3:$H$41,$A177,'Loss time 26-10'!$G$3:$G$41,E$175)</f>
        <v>75</v>
      </c>
      <c r="F177" s="23" t="n">
        <f aca="false">SUMIFS('Loss time 26-10'!$Q$3:$Q$41,'Loss time 26-10'!$H$3:$H$41,$A177,'Loss time 26-10'!$G$3:$G$41,F$175)</f>
        <v>25</v>
      </c>
      <c r="G177" s="23" t="n">
        <f aca="false">SUMIFS('Loss time 26-10'!$Q$3:$Q$41,'Loss time 26-10'!$H$3:$H$41,$A177,'Loss time 26-10'!$G$3:$G$41,G$175)</f>
        <v>0</v>
      </c>
      <c r="H177" s="23" t="n">
        <f aca="false">SUMIFS('Loss time 26-10'!$Q$3:$Q$41,'Loss time 26-10'!$H$3:$H$41,$A177,'Loss time 26-10'!$G$3:$G$41,H$175)</f>
        <v>0</v>
      </c>
      <c r="I177" s="23" t="n">
        <f aca="false">SUMIFS('Loss time 26-10'!$Q$3:$Q$41,'Loss time 26-10'!$H$3:$H$41,$A177,'Loss time 26-10'!$G$3:$G$41,I$175)</f>
        <v>0</v>
      </c>
      <c r="J177" s="24" t="n">
        <f aca="false">SUM(C177:I177)</f>
        <v>225</v>
      </c>
    </row>
    <row r="178" customFormat="false" ht="15" hidden="false" customHeight="false" outlineLevel="0" collapsed="false">
      <c r="A178" s="22" t="s">
        <v>48</v>
      </c>
      <c r="B178" s="22" t="s">
        <v>49</v>
      </c>
      <c r="C178" s="23" t="n">
        <f aca="false">SUMIFS('Loss time 26-10'!$Q$3:$Q$41,'Loss time 26-10'!$H$3:$H$41,$A178,'Loss time 26-10'!$G$3:$G$41,C$175)</f>
        <v>0</v>
      </c>
      <c r="D178" s="23" t="n">
        <f aca="false">SUMIFS('Loss time 26-10'!$Q$3:$Q$41,'Loss time 26-10'!$H$3:$H$41,$A178,'Loss time 26-10'!$G$3:$G$41,D$175)</f>
        <v>0</v>
      </c>
      <c r="E178" s="23" t="n">
        <f aca="false">SUMIFS('Loss time 26-10'!$Q$3:$Q$41,'Loss time 26-10'!$H$3:$H$41,$A178,'Loss time 26-10'!$G$3:$G$41,E$175)</f>
        <v>0</v>
      </c>
      <c r="F178" s="23" t="n">
        <f aca="false">SUMIFS('Loss time 26-10'!$Q$3:$Q$41,'Loss time 26-10'!$H$3:$H$41,$A178,'Loss time 26-10'!$G$3:$G$41,F$175)</f>
        <v>16</v>
      </c>
      <c r="G178" s="23" t="n">
        <f aca="false">SUMIFS('Loss time 26-10'!$Q$3:$Q$41,'Loss time 26-10'!$H$3:$H$41,$A178,'Loss time 26-10'!$G$3:$G$41,G$175)</f>
        <v>0</v>
      </c>
      <c r="H178" s="23" t="n">
        <f aca="false">SUMIFS('Loss time 26-10'!$Q$3:$Q$41,'Loss time 26-10'!$H$3:$H$41,$A178,'Loss time 26-10'!$G$3:$G$41,H$175)</f>
        <v>0</v>
      </c>
      <c r="I178" s="23" t="n">
        <f aca="false">SUMIFS('Loss time 26-10'!$Q$3:$Q$41,'Loss time 26-10'!$H$3:$H$41,$A178,'Loss time 26-10'!$G$3:$G$41,I$175)</f>
        <v>0</v>
      </c>
      <c r="J178" s="24" t="n">
        <f aca="false">SUM(C178:I178)</f>
        <v>16</v>
      </c>
    </row>
    <row r="179" customFormat="false" ht="15" hidden="false" customHeight="false" outlineLevel="0" collapsed="false">
      <c r="A179" s="22" t="s">
        <v>52</v>
      </c>
      <c r="B179" s="22" t="s">
        <v>53</v>
      </c>
      <c r="C179" s="23" t="n">
        <f aca="false">SUMIFS('Loss time 26-10'!$Q$3:$Q$41,'Loss time 26-10'!$H$3:$H$41,$A179,'Loss time 26-10'!$G$3:$G$41,C$175)</f>
        <v>0</v>
      </c>
      <c r="D179" s="23" t="n">
        <f aca="false">SUMIFS('Loss time 26-10'!$Q$3:$Q$41,'Loss time 26-10'!$H$3:$H$41,$A179,'Loss time 26-10'!$G$3:$G$41,D$175)</f>
        <v>0</v>
      </c>
      <c r="E179" s="23" t="n">
        <f aca="false">SUMIFS('Loss time 26-10'!$Q$3:$Q$41,'Loss time 26-10'!$H$3:$H$41,$A179,'Loss time 26-10'!$G$3:$G$41,E$175)</f>
        <v>31.5</v>
      </c>
      <c r="F179" s="23" t="n">
        <f aca="false">SUMIFS('Loss time 26-10'!$Q$3:$Q$41,'Loss time 26-10'!$H$3:$H$41,$A179,'Loss time 26-10'!$G$3:$G$41,F$175)</f>
        <v>81</v>
      </c>
      <c r="G179" s="23" t="n">
        <f aca="false">SUMIFS('Loss time 26-10'!$Q$3:$Q$41,'Loss time 26-10'!$H$3:$H$41,$A179,'Loss time 26-10'!$G$3:$G$41,G$175)</f>
        <v>0</v>
      </c>
      <c r="H179" s="23" t="n">
        <f aca="false">SUMIFS('Loss time 26-10'!$Q$3:$Q$41,'Loss time 26-10'!$H$3:$H$41,$A179,'Loss time 26-10'!$G$3:$G$41,H$175)</f>
        <v>45</v>
      </c>
      <c r="I179" s="23" t="n">
        <f aca="false">SUMIFS('Loss time 26-10'!$Q$3:$Q$41,'Loss time 26-10'!$H$3:$H$41,$A179,'Loss time 26-10'!$G$3:$G$41,I$175)</f>
        <v>0</v>
      </c>
      <c r="J179" s="24" t="n">
        <f aca="false">SUM(C179:I179)</f>
        <v>157.5</v>
      </c>
    </row>
    <row r="180" customFormat="false" ht="15" hidden="false" customHeight="false" outlineLevel="0" collapsed="false">
      <c r="A180" s="25" t="s">
        <v>75</v>
      </c>
      <c r="B180" s="25"/>
      <c r="C180" s="24" t="n">
        <f aca="false">SUM(C176:C179)</f>
        <v>16</v>
      </c>
      <c r="D180" s="24" t="n">
        <f aca="false">SUM(D176:D179)</f>
        <v>121.5</v>
      </c>
      <c r="E180" s="24" t="n">
        <f aca="false">SUM(E176:E179)</f>
        <v>116</v>
      </c>
      <c r="F180" s="24" t="n">
        <f aca="false">SUM(F176:F179)</f>
        <v>147</v>
      </c>
      <c r="G180" s="24" t="n">
        <f aca="false">SUM(G176:G179)</f>
        <v>0</v>
      </c>
      <c r="H180" s="24" t="n">
        <f aca="false">SUM(H176:H179)</f>
        <v>45</v>
      </c>
      <c r="I180" s="24" t="n">
        <f aca="false">SUM(I176:I179)</f>
        <v>0</v>
      </c>
      <c r="J180" s="24" t="n">
        <f aca="false">SUM(J176:J179)</f>
        <v>445.5</v>
      </c>
    </row>
    <row r="183" customFormat="false" ht="15" hidden="false" customHeight="false" outlineLevel="0" collapsed="false">
      <c r="A183" s="18" t="s">
        <v>368</v>
      </c>
    </row>
    <row r="184" customFormat="false" ht="25.35" hidden="false" customHeight="false" outlineLevel="0" collapsed="false">
      <c r="A184" s="2" t="s">
        <v>8</v>
      </c>
      <c r="B184" s="2" t="s">
        <v>347</v>
      </c>
      <c r="C184" s="2" t="s">
        <v>18</v>
      </c>
      <c r="D184" s="2" t="s">
        <v>23</v>
      </c>
      <c r="E184" s="2" t="s">
        <v>25</v>
      </c>
      <c r="F184" s="2" t="s">
        <v>28</v>
      </c>
      <c r="G184" s="2" t="s">
        <v>68</v>
      </c>
      <c r="H184" s="2" t="s">
        <v>72</v>
      </c>
      <c r="I184" s="2" t="s">
        <v>348</v>
      </c>
      <c r="J184" s="2" t="s">
        <v>75</v>
      </c>
    </row>
    <row r="185" customFormat="false" ht="15" hidden="false" customHeight="false" outlineLevel="0" collapsed="false">
      <c r="A185" s="22" t="s">
        <v>19</v>
      </c>
      <c r="B185" s="22" t="s">
        <v>20</v>
      </c>
      <c r="C185" s="23" t="n">
        <f aca="false">SUMIFS('Loss time 27-10'!$Q$3:$Q$41,'Loss time 27-10'!$H$3:$H$41,$A185,'Loss time 27-10'!$G$3:$G$41,C$184)</f>
        <v>3.5</v>
      </c>
      <c r="D185" s="23" t="n">
        <f aca="false">SUMIFS('Loss time 27-10'!$Q$3:$Q$41,'Loss time 27-10'!$H$3:$H$41,$A185,'Loss time 27-10'!$G$3:$G$41,D$184)</f>
        <v>9</v>
      </c>
      <c r="E185" s="23" t="n">
        <f aca="false">SUMIFS('Loss time 27-10'!$Q$3:$Q$41,'Loss time 27-10'!$H$3:$H$41,$A185,'Loss time 27-10'!$G$3:$G$41,E$184)</f>
        <v>9.5</v>
      </c>
      <c r="F185" s="23" t="n">
        <f aca="false">SUMIFS('Loss time 27-10'!$Q$3:$Q$41,'Loss time 27-10'!$H$3:$H$41,$A185,'Loss time 27-10'!$G$3:$G$41,F$184)</f>
        <v>25</v>
      </c>
      <c r="G185" s="23" t="n">
        <f aca="false">SUMIFS('Loss time 27-10'!$Q$3:$Q$41,'Loss time 27-10'!$H$3:$H$41,$A185,'Loss time 27-10'!$G$3:$G$41,G$184)</f>
        <v>0</v>
      </c>
      <c r="H185" s="23" t="n">
        <f aca="false">SUMIFS('Loss time 27-10'!$Q$3:$Q$41,'Loss time 27-10'!$H$3:$H$41,$A185,'Loss time 27-10'!$G$3:$G$41,H$184)</f>
        <v>0</v>
      </c>
      <c r="I185" s="23" t="n">
        <f aca="false">SUMIFS('Loss time 27-10'!$Q$3:$Q$41,'Loss time 27-10'!$H$3:$H$41,$A185,'Loss time 27-10'!$G$3:$G$41,I$184)</f>
        <v>0</v>
      </c>
      <c r="J185" s="24" t="n">
        <f aca="false">SUM(C185:I185)</f>
        <v>47</v>
      </c>
    </row>
    <row r="186" customFormat="false" ht="15" hidden="false" customHeight="false" outlineLevel="0" collapsed="false">
      <c r="A186" s="22" t="s">
        <v>30</v>
      </c>
      <c r="B186" s="22" t="s">
        <v>31</v>
      </c>
      <c r="C186" s="23" t="n">
        <f aca="false">SUMIFS('Loss time 27-10'!$Q$3:$Q$41,'Loss time 27-10'!$H$3:$H$41,$A186,'Loss time 27-10'!$G$3:$G$41,C$184)</f>
        <v>12.5</v>
      </c>
      <c r="D186" s="23" t="n">
        <f aca="false">SUMIFS('Loss time 27-10'!$Q$3:$Q$41,'Loss time 27-10'!$H$3:$H$41,$A186,'Loss time 27-10'!$G$3:$G$41,D$184)</f>
        <v>112.5</v>
      </c>
      <c r="E186" s="23" t="n">
        <f aca="false">SUMIFS('Loss time 27-10'!$Q$3:$Q$41,'Loss time 27-10'!$H$3:$H$41,$A186,'Loss time 27-10'!$G$3:$G$41,E$184)</f>
        <v>75</v>
      </c>
      <c r="F186" s="23" t="n">
        <f aca="false">SUMIFS('Loss time 27-10'!$Q$3:$Q$41,'Loss time 27-10'!$H$3:$H$41,$A186,'Loss time 27-10'!$G$3:$G$41,F$184)</f>
        <v>25</v>
      </c>
      <c r="G186" s="23" t="n">
        <f aca="false">SUMIFS('Loss time 27-10'!$Q$3:$Q$41,'Loss time 27-10'!$H$3:$H$41,$A186,'Loss time 27-10'!$G$3:$G$41,G$184)</f>
        <v>0</v>
      </c>
      <c r="H186" s="23" t="n">
        <f aca="false">SUMIFS('Loss time 27-10'!$Q$3:$Q$41,'Loss time 27-10'!$H$3:$H$41,$A186,'Loss time 27-10'!$G$3:$G$41,H$184)</f>
        <v>0</v>
      </c>
      <c r="I186" s="23" t="n">
        <f aca="false">SUMIFS('Loss time 27-10'!$Q$3:$Q$41,'Loss time 27-10'!$H$3:$H$41,$A186,'Loss time 27-10'!$G$3:$G$41,I$184)</f>
        <v>0</v>
      </c>
      <c r="J186" s="24" t="n">
        <f aca="false">SUM(C186:I186)</f>
        <v>225</v>
      </c>
    </row>
    <row r="187" customFormat="false" ht="15" hidden="false" customHeight="false" outlineLevel="0" collapsed="false">
      <c r="A187" s="22" t="s">
        <v>48</v>
      </c>
      <c r="B187" s="22" t="s">
        <v>49</v>
      </c>
      <c r="C187" s="23" t="n">
        <f aca="false">SUMIFS('Loss time 27-10'!$Q$3:$Q$41,'Loss time 27-10'!$H$3:$H$41,$A187,'Loss time 27-10'!$G$3:$G$41,C$184)</f>
        <v>0</v>
      </c>
      <c r="D187" s="23" t="n">
        <f aca="false">SUMIFS('Loss time 27-10'!$Q$3:$Q$41,'Loss time 27-10'!$H$3:$H$41,$A187,'Loss time 27-10'!$G$3:$G$41,D$184)</f>
        <v>0</v>
      </c>
      <c r="E187" s="23" t="n">
        <f aca="false">SUMIFS('Loss time 27-10'!$Q$3:$Q$41,'Loss time 27-10'!$H$3:$H$41,$A187,'Loss time 27-10'!$G$3:$G$41,E$184)</f>
        <v>0</v>
      </c>
      <c r="F187" s="23" t="n">
        <f aca="false">SUMIFS('Loss time 27-10'!$Q$3:$Q$41,'Loss time 27-10'!$H$3:$H$41,$A187,'Loss time 27-10'!$G$3:$G$41,F$184)</f>
        <v>32</v>
      </c>
      <c r="G187" s="23" t="n">
        <f aca="false">SUMIFS('Loss time 27-10'!$Q$3:$Q$41,'Loss time 27-10'!$H$3:$H$41,$A187,'Loss time 27-10'!$G$3:$G$41,G$184)</f>
        <v>0</v>
      </c>
      <c r="H187" s="23" t="n">
        <f aca="false">SUMIFS('Loss time 27-10'!$Q$3:$Q$41,'Loss time 27-10'!$H$3:$H$41,$A187,'Loss time 27-10'!$G$3:$G$41,H$184)</f>
        <v>8</v>
      </c>
      <c r="I187" s="23" t="n">
        <f aca="false">SUMIFS('Loss time 27-10'!$Q$3:$Q$41,'Loss time 27-10'!$H$3:$H$41,$A187,'Loss time 27-10'!$G$3:$G$41,I$184)</f>
        <v>0</v>
      </c>
      <c r="J187" s="24" t="n">
        <f aca="false">SUM(C187:I187)</f>
        <v>40</v>
      </c>
    </row>
    <row r="188" customFormat="false" ht="15" hidden="false" customHeight="false" outlineLevel="0" collapsed="false">
      <c r="A188" s="22" t="s">
        <v>52</v>
      </c>
      <c r="B188" s="22" t="s">
        <v>53</v>
      </c>
      <c r="C188" s="23" t="n">
        <f aca="false">SUMIFS('Loss time 27-10'!$Q$3:$Q$41,'Loss time 27-10'!$H$3:$H$41,$A188,'Loss time 27-10'!$G$3:$G$41,C$184)</f>
        <v>0</v>
      </c>
      <c r="D188" s="23" t="n">
        <f aca="false">SUMIFS('Loss time 27-10'!$Q$3:$Q$41,'Loss time 27-10'!$H$3:$H$41,$A188,'Loss time 27-10'!$G$3:$G$41,D$184)</f>
        <v>0</v>
      </c>
      <c r="E188" s="23" t="n">
        <f aca="false">SUMIFS('Loss time 27-10'!$Q$3:$Q$41,'Loss time 27-10'!$H$3:$H$41,$A188,'Loss time 27-10'!$G$3:$G$41,E$184)</f>
        <v>31.5</v>
      </c>
      <c r="F188" s="23" t="n">
        <f aca="false">SUMIFS('Loss time 27-10'!$Q$3:$Q$41,'Loss time 27-10'!$H$3:$H$41,$A188,'Loss time 27-10'!$G$3:$G$41,F$184)</f>
        <v>81</v>
      </c>
      <c r="G188" s="23" t="n">
        <f aca="false">SUMIFS('Loss time 27-10'!$Q$3:$Q$41,'Loss time 27-10'!$H$3:$H$41,$A188,'Loss time 27-10'!$G$3:$G$41,G$184)</f>
        <v>0</v>
      </c>
      <c r="H188" s="23" t="n">
        <f aca="false">SUMIFS('Loss time 27-10'!$Q$3:$Q$41,'Loss time 27-10'!$H$3:$H$41,$A188,'Loss time 27-10'!$G$3:$G$41,H$184)</f>
        <v>40.5</v>
      </c>
      <c r="I188" s="23" t="n">
        <f aca="false">SUMIFS('Loss time 27-10'!$Q$3:$Q$41,'Loss time 27-10'!$H$3:$H$41,$A188,'Loss time 27-10'!$G$3:$G$41,I$184)</f>
        <v>0</v>
      </c>
      <c r="J188" s="24" t="n">
        <f aca="false">SUM(C188:I188)</f>
        <v>153</v>
      </c>
    </row>
    <row r="189" customFormat="false" ht="15" hidden="false" customHeight="false" outlineLevel="0" collapsed="false">
      <c r="A189" s="25" t="s">
        <v>75</v>
      </c>
      <c r="B189" s="25"/>
      <c r="C189" s="24" t="n">
        <f aca="false">SUM(C185:C188)</f>
        <v>16</v>
      </c>
      <c r="D189" s="24" t="n">
        <f aca="false">SUM(D185:D188)</f>
        <v>121.5</v>
      </c>
      <c r="E189" s="24" t="n">
        <f aca="false">SUM(E185:E188)</f>
        <v>116</v>
      </c>
      <c r="F189" s="24" t="n">
        <f aca="false">SUM(F185:F188)</f>
        <v>163</v>
      </c>
      <c r="G189" s="24" t="n">
        <f aca="false">SUM(G185:G188)</f>
        <v>0</v>
      </c>
      <c r="H189" s="24" t="n">
        <f aca="false">SUM(H185:H188)</f>
        <v>48.5</v>
      </c>
      <c r="I189" s="24" t="n">
        <f aca="false">SUM(I185:I188)</f>
        <v>0</v>
      </c>
      <c r="J189" s="24" t="n">
        <f aca="false">SUM(J185:J188)</f>
        <v>465</v>
      </c>
    </row>
    <row r="192" customFormat="false" ht="15" hidden="false" customHeight="false" outlineLevel="0" collapsed="false">
      <c r="A192" s="18" t="s">
        <v>369</v>
      </c>
    </row>
    <row r="193" customFormat="false" ht="25.35" hidden="false" customHeight="false" outlineLevel="0" collapsed="false">
      <c r="A193" s="2" t="s">
        <v>8</v>
      </c>
      <c r="B193" s="2" t="s">
        <v>347</v>
      </c>
      <c r="C193" s="2" t="s">
        <v>18</v>
      </c>
      <c r="D193" s="2" t="s">
        <v>23</v>
      </c>
      <c r="E193" s="2" t="s">
        <v>25</v>
      </c>
      <c r="F193" s="2" t="s">
        <v>28</v>
      </c>
      <c r="G193" s="2" t="s">
        <v>68</v>
      </c>
      <c r="H193" s="2" t="s">
        <v>72</v>
      </c>
      <c r="I193" s="2" t="s">
        <v>348</v>
      </c>
      <c r="J193" s="2" t="s">
        <v>75</v>
      </c>
    </row>
    <row r="194" customFormat="false" ht="15" hidden="false" customHeight="false" outlineLevel="0" collapsed="false">
      <c r="A194" s="22" t="s">
        <v>19</v>
      </c>
      <c r="B194" s="22" t="s">
        <v>20</v>
      </c>
      <c r="C194" s="23" t="n">
        <f aca="false">SUMIFS('Loss time 28-10'!$Q$3:$Q$41,'Loss time 28-10'!$H$3:$H$41,$A194,'Loss time 28-10'!$G$3:$G$41,C$193)</f>
        <v>3.5</v>
      </c>
      <c r="D194" s="23" t="n">
        <f aca="false">SUMIFS('Loss time 28-10'!$Q$3:$Q$41,'Loss time 28-10'!$H$3:$H$41,$A194,'Loss time 28-10'!$G$3:$G$41,D$193)</f>
        <v>9</v>
      </c>
      <c r="E194" s="23" t="n">
        <f aca="false">SUMIFS('Loss time 28-10'!$Q$3:$Q$41,'Loss time 28-10'!$H$3:$H$41,$A194,'Loss time 28-10'!$G$3:$G$41,E$193)</f>
        <v>9.5</v>
      </c>
      <c r="F194" s="23" t="n">
        <f aca="false">SUMIFS('Loss time 28-10'!$Q$3:$Q$41,'Loss time 28-10'!$H$3:$H$41,$A194,'Loss time 28-10'!$G$3:$G$41,F$193)</f>
        <v>25</v>
      </c>
      <c r="G194" s="23" t="n">
        <f aca="false">SUMIFS('Loss time 28-10'!$Q$3:$Q$41,'Loss time 28-10'!$H$3:$H$41,$A194,'Loss time 28-10'!$G$3:$G$41,G$193)</f>
        <v>0</v>
      </c>
      <c r="H194" s="23" t="n">
        <f aca="false">SUMIFS('Loss time 28-10'!$Q$3:$Q$41,'Loss time 28-10'!$H$3:$H$41,$A194,'Loss time 28-10'!$G$3:$G$41,H$193)</f>
        <v>0</v>
      </c>
      <c r="I194" s="23" t="n">
        <f aca="false">SUMIFS('Loss time 28-10'!$Q$3:$Q$41,'Loss time 28-10'!$H$3:$H$41,$A194,'Loss time 28-10'!$G$3:$G$41,I$193)</f>
        <v>0</v>
      </c>
      <c r="J194" s="24" t="n">
        <f aca="false">SUM(C194:I194)</f>
        <v>47</v>
      </c>
    </row>
    <row r="195" customFormat="false" ht="15" hidden="false" customHeight="false" outlineLevel="0" collapsed="false">
      <c r="A195" s="22" t="s">
        <v>30</v>
      </c>
      <c r="B195" s="22" t="s">
        <v>31</v>
      </c>
      <c r="C195" s="23" t="n">
        <f aca="false">SUMIFS('Loss time 28-10'!$Q$3:$Q$41,'Loss time 28-10'!$H$3:$H$41,$A195,'Loss time 28-10'!$G$3:$G$41,C$193)</f>
        <v>12.5</v>
      </c>
      <c r="D195" s="23" t="n">
        <f aca="false">SUMIFS('Loss time 28-10'!$Q$3:$Q$41,'Loss time 28-10'!$H$3:$H$41,$A195,'Loss time 28-10'!$G$3:$G$41,D$193)</f>
        <v>112.5</v>
      </c>
      <c r="E195" s="23" t="n">
        <f aca="false">SUMIFS('Loss time 28-10'!$Q$3:$Q$41,'Loss time 28-10'!$H$3:$H$41,$A195,'Loss time 28-10'!$G$3:$G$41,E$193)</f>
        <v>75</v>
      </c>
      <c r="F195" s="23" t="n">
        <f aca="false">SUMIFS('Loss time 28-10'!$Q$3:$Q$41,'Loss time 28-10'!$H$3:$H$41,$A195,'Loss time 28-10'!$G$3:$G$41,F$193)</f>
        <v>25</v>
      </c>
      <c r="G195" s="23" t="n">
        <f aca="false">SUMIFS('Loss time 28-10'!$Q$3:$Q$41,'Loss time 28-10'!$H$3:$H$41,$A195,'Loss time 28-10'!$G$3:$G$41,G$193)</f>
        <v>0</v>
      </c>
      <c r="H195" s="23" t="n">
        <f aca="false">SUMIFS('Loss time 28-10'!$Q$3:$Q$41,'Loss time 28-10'!$H$3:$H$41,$A195,'Loss time 28-10'!$G$3:$G$41,H$193)</f>
        <v>0</v>
      </c>
      <c r="I195" s="23" t="n">
        <f aca="false">SUMIFS('Loss time 28-10'!$Q$3:$Q$41,'Loss time 28-10'!$H$3:$H$41,$A195,'Loss time 28-10'!$G$3:$G$41,I$193)</f>
        <v>0</v>
      </c>
      <c r="J195" s="24" t="n">
        <f aca="false">SUM(C195:I195)</f>
        <v>225</v>
      </c>
    </row>
    <row r="196" customFormat="false" ht="15" hidden="false" customHeight="false" outlineLevel="0" collapsed="false">
      <c r="A196" s="22" t="s">
        <v>48</v>
      </c>
      <c r="B196" s="22" t="s">
        <v>49</v>
      </c>
      <c r="C196" s="23" t="n">
        <f aca="false">SUMIFS('Loss time 28-10'!$Q$3:$Q$41,'Loss time 28-10'!$H$3:$H$41,$A196,'Loss time 28-10'!$G$3:$G$41,C$193)</f>
        <v>0</v>
      </c>
      <c r="D196" s="23" t="n">
        <f aca="false">SUMIFS('Loss time 28-10'!$Q$3:$Q$41,'Loss time 28-10'!$H$3:$H$41,$A196,'Loss time 28-10'!$G$3:$G$41,D$193)</f>
        <v>0</v>
      </c>
      <c r="E196" s="23" t="n">
        <f aca="false">SUMIFS('Loss time 28-10'!$Q$3:$Q$41,'Loss time 28-10'!$H$3:$H$41,$A196,'Loss time 28-10'!$G$3:$G$41,E$193)</f>
        <v>16</v>
      </c>
      <c r="F196" s="23" t="n">
        <f aca="false">SUMIFS('Loss time 28-10'!$Q$3:$Q$41,'Loss time 28-10'!$H$3:$H$41,$A196,'Loss time 28-10'!$G$3:$G$41,F$193)</f>
        <v>16</v>
      </c>
      <c r="G196" s="23" t="n">
        <f aca="false">SUMIFS('Loss time 28-10'!$Q$3:$Q$41,'Loss time 28-10'!$H$3:$H$41,$A196,'Loss time 28-10'!$G$3:$G$41,G$193)</f>
        <v>0</v>
      </c>
      <c r="H196" s="23" t="n">
        <f aca="false">SUMIFS('Loss time 28-10'!$Q$3:$Q$41,'Loss time 28-10'!$H$3:$H$41,$A196,'Loss time 28-10'!$G$3:$G$41,H$193)</f>
        <v>16</v>
      </c>
      <c r="I196" s="23" t="n">
        <f aca="false">SUMIFS('Loss time 28-10'!$Q$3:$Q$41,'Loss time 28-10'!$H$3:$H$41,$A196,'Loss time 28-10'!$G$3:$G$41,I$193)</f>
        <v>0</v>
      </c>
      <c r="J196" s="24" t="n">
        <f aca="false">SUM(C196:I196)</f>
        <v>48</v>
      </c>
    </row>
    <row r="197" customFormat="false" ht="15" hidden="false" customHeight="false" outlineLevel="0" collapsed="false">
      <c r="A197" s="22" t="s">
        <v>52</v>
      </c>
      <c r="B197" s="22" t="s">
        <v>53</v>
      </c>
      <c r="C197" s="23" t="n">
        <f aca="false">SUMIFS('Loss time 28-10'!$Q$3:$Q$41,'Loss time 28-10'!$H$3:$H$41,$A197,'Loss time 28-10'!$G$3:$G$41,C$193)</f>
        <v>0</v>
      </c>
      <c r="D197" s="23" t="n">
        <f aca="false">SUMIFS('Loss time 28-10'!$Q$3:$Q$41,'Loss time 28-10'!$H$3:$H$41,$A197,'Loss time 28-10'!$G$3:$G$41,D$193)</f>
        <v>0</v>
      </c>
      <c r="E197" s="23" t="n">
        <f aca="false">SUMIFS('Loss time 28-10'!$Q$3:$Q$41,'Loss time 28-10'!$H$3:$H$41,$A197,'Loss time 28-10'!$G$3:$G$41,E$193)</f>
        <v>27</v>
      </c>
      <c r="F197" s="23" t="n">
        <f aca="false">SUMIFS('Loss time 28-10'!$Q$3:$Q$41,'Loss time 28-10'!$H$3:$H$41,$A197,'Loss time 28-10'!$G$3:$G$41,F$193)</f>
        <v>94.5</v>
      </c>
      <c r="G197" s="23" t="n">
        <f aca="false">SUMIFS('Loss time 28-10'!$Q$3:$Q$41,'Loss time 28-10'!$H$3:$H$41,$A197,'Loss time 28-10'!$G$3:$G$41,G$193)</f>
        <v>0</v>
      </c>
      <c r="H197" s="23" t="n">
        <f aca="false">SUMIFS('Loss time 28-10'!$Q$3:$Q$41,'Loss time 28-10'!$H$3:$H$41,$A197,'Loss time 28-10'!$G$3:$G$41,H$193)</f>
        <v>27</v>
      </c>
      <c r="I197" s="23" t="n">
        <f aca="false">SUMIFS('Loss time 28-10'!$Q$3:$Q$41,'Loss time 28-10'!$H$3:$H$41,$A197,'Loss time 28-10'!$G$3:$G$41,I$193)</f>
        <v>0</v>
      </c>
      <c r="J197" s="24" t="n">
        <f aca="false">SUM(C197:I197)</f>
        <v>148.5</v>
      </c>
    </row>
    <row r="198" customFormat="false" ht="15" hidden="false" customHeight="false" outlineLevel="0" collapsed="false">
      <c r="A198" s="25" t="s">
        <v>75</v>
      </c>
      <c r="B198" s="25"/>
      <c r="C198" s="24" t="n">
        <f aca="false">SUM(C194:C197)</f>
        <v>16</v>
      </c>
      <c r="D198" s="24" t="n">
        <f aca="false">SUM(D194:D197)</f>
        <v>121.5</v>
      </c>
      <c r="E198" s="24" t="n">
        <f aca="false">SUM(E194:E197)</f>
        <v>127.5</v>
      </c>
      <c r="F198" s="24" t="n">
        <f aca="false">SUM(F194:F197)</f>
        <v>160.5</v>
      </c>
      <c r="G198" s="24" t="n">
        <f aca="false">SUM(G194:G197)</f>
        <v>0</v>
      </c>
      <c r="H198" s="24" t="n">
        <f aca="false">SUM(H194:H197)</f>
        <v>43</v>
      </c>
      <c r="I198" s="24" t="n">
        <f aca="false">SUM(I194:I197)</f>
        <v>0</v>
      </c>
      <c r="J198" s="24" t="n">
        <f aca="false">SUM(J194:J197)</f>
        <v>468.5</v>
      </c>
    </row>
    <row r="201" customFormat="false" ht="15" hidden="false" customHeight="false" outlineLevel="0" collapsed="false">
      <c r="A201" s="18" t="s">
        <v>370</v>
      </c>
    </row>
    <row r="202" customFormat="false" ht="25.35" hidden="false" customHeight="false" outlineLevel="0" collapsed="false">
      <c r="A202" s="2" t="s">
        <v>8</v>
      </c>
      <c r="B202" s="2" t="s">
        <v>347</v>
      </c>
      <c r="C202" s="2" t="s">
        <v>18</v>
      </c>
      <c r="D202" s="2" t="s">
        <v>23</v>
      </c>
      <c r="E202" s="2" t="s">
        <v>25</v>
      </c>
      <c r="F202" s="2" t="s">
        <v>28</v>
      </c>
      <c r="G202" s="2" t="s">
        <v>68</v>
      </c>
      <c r="H202" s="2" t="s">
        <v>72</v>
      </c>
      <c r="I202" s="2" t="s">
        <v>348</v>
      </c>
      <c r="J202" s="2" t="s">
        <v>75</v>
      </c>
    </row>
    <row r="203" customFormat="false" ht="15" hidden="false" customHeight="false" outlineLevel="0" collapsed="false">
      <c r="A203" s="22" t="s">
        <v>19</v>
      </c>
      <c r="B203" s="22" t="s">
        <v>20</v>
      </c>
      <c r="C203" s="23" t="n">
        <f aca="false">SUMIFS('Loss time 29-10'!$Q$3:$Q$40,'Loss time 29-10'!$H$3:$H$40,$A203,'Loss time 29-10'!$G$3:$G$40,C$202)</f>
        <v>3.5</v>
      </c>
      <c r="D203" s="23" t="n">
        <f aca="false">SUMIFS('Loss time 29-10'!$Q$3:$Q$40,'Loss time 29-10'!$H$3:$H$40,$A203,'Loss time 29-10'!$G$3:$G$40,D$202)</f>
        <v>9</v>
      </c>
      <c r="E203" s="23" t="n">
        <f aca="false">SUMIFS('Loss time 29-10'!$Q$3:$Q$40,'Loss time 29-10'!$H$3:$H$40,$A203,'Loss time 29-10'!$G$3:$G$40,E$202)</f>
        <v>9.5</v>
      </c>
      <c r="F203" s="23" t="n">
        <f aca="false">SUMIFS('Loss time 29-10'!$Q$3:$Q$40,'Loss time 29-10'!$H$3:$H$40,$A203,'Loss time 29-10'!$G$3:$G$40,F$202)</f>
        <v>25</v>
      </c>
      <c r="G203" s="23" t="n">
        <f aca="false">SUMIFS('Loss time 29-10'!$Q$3:$Q$40,'Loss time 29-10'!$H$3:$H$40,$A203,'Loss time 29-10'!$G$3:$G$40,G$202)</f>
        <v>0</v>
      </c>
      <c r="H203" s="23" t="n">
        <f aca="false">SUMIFS('Loss time 29-10'!$Q$3:$Q$40,'Loss time 29-10'!$H$3:$H$40,$A203,'Loss time 29-10'!$G$3:$G$40,H$202)</f>
        <v>0</v>
      </c>
      <c r="I203" s="23" t="n">
        <f aca="false">SUMIFS('Loss time 29-10'!$Q$3:$Q$40,'Loss time 29-10'!$H$3:$H$40,$A203,'Loss time 29-10'!$G$3:$G$40,I$202)</f>
        <v>0</v>
      </c>
      <c r="J203" s="24" t="n">
        <f aca="false">SUM(C203:I203)</f>
        <v>47</v>
      </c>
    </row>
    <row r="204" customFormat="false" ht="15" hidden="false" customHeight="false" outlineLevel="0" collapsed="false">
      <c r="A204" s="22" t="s">
        <v>30</v>
      </c>
      <c r="B204" s="22" t="s">
        <v>31</v>
      </c>
      <c r="C204" s="23" t="n">
        <f aca="false">SUMIFS('Loss time 29-10'!$Q$3:$Q$40,'Loss time 29-10'!$H$3:$H$40,$A204,'Loss time 29-10'!$G$3:$G$40,C$202)</f>
        <v>12.5</v>
      </c>
      <c r="D204" s="23" t="n">
        <f aca="false">SUMIFS('Loss time 29-10'!$Q$3:$Q$40,'Loss time 29-10'!$H$3:$H$40,$A204,'Loss time 29-10'!$G$3:$G$40,D$202)</f>
        <v>112.5</v>
      </c>
      <c r="E204" s="23" t="n">
        <f aca="false">SUMIFS('Loss time 29-10'!$Q$3:$Q$40,'Loss time 29-10'!$H$3:$H$40,$A204,'Loss time 29-10'!$G$3:$G$40,E$202)</f>
        <v>75</v>
      </c>
      <c r="F204" s="23" t="n">
        <f aca="false">SUMIFS('Loss time 29-10'!$Q$3:$Q$40,'Loss time 29-10'!$H$3:$H$40,$A204,'Loss time 29-10'!$G$3:$G$40,F$202)</f>
        <v>25</v>
      </c>
      <c r="G204" s="23" t="n">
        <f aca="false">SUMIFS('Loss time 29-10'!$Q$3:$Q$40,'Loss time 29-10'!$H$3:$H$40,$A204,'Loss time 29-10'!$G$3:$G$40,G$202)</f>
        <v>0</v>
      </c>
      <c r="H204" s="23" t="n">
        <f aca="false">SUMIFS('Loss time 29-10'!$Q$3:$Q$40,'Loss time 29-10'!$H$3:$H$40,$A204,'Loss time 29-10'!$G$3:$G$40,H$202)</f>
        <v>0</v>
      </c>
      <c r="I204" s="23" t="n">
        <f aca="false">SUMIFS('Loss time 29-10'!$Q$3:$Q$40,'Loss time 29-10'!$H$3:$H$40,$A204,'Loss time 29-10'!$G$3:$G$40,I$202)</f>
        <v>0</v>
      </c>
      <c r="J204" s="24" t="n">
        <f aca="false">SUM(C204:I204)</f>
        <v>225</v>
      </c>
    </row>
    <row r="205" customFormat="false" ht="15" hidden="false" customHeight="false" outlineLevel="0" collapsed="false">
      <c r="A205" s="22" t="s">
        <v>48</v>
      </c>
      <c r="B205" s="22" t="s">
        <v>49</v>
      </c>
      <c r="C205" s="23" t="n">
        <f aca="false">SUMIFS('Loss time 29-10'!$Q$3:$Q$40,'Loss time 29-10'!$H$3:$H$40,$A205,'Loss time 29-10'!$G$3:$G$40,C$202)</f>
        <v>0</v>
      </c>
      <c r="D205" s="23" t="n">
        <f aca="false">SUMIFS('Loss time 29-10'!$Q$3:$Q$40,'Loss time 29-10'!$H$3:$H$40,$A205,'Loss time 29-10'!$G$3:$G$40,D$202)</f>
        <v>0</v>
      </c>
      <c r="E205" s="23" t="n">
        <f aca="false">SUMIFS('Loss time 29-10'!$Q$3:$Q$40,'Loss time 29-10'!$H$3:$H$40,$A205,'Loss time 29-10'!$G$3:$G$40,E$202)</f>
        <v>0</v>
      </c>
      <c r="F205" s="23" t="n">
        <f aca="false">SUMIFS('Loss time 29-10'!$Q$3:$Q$40,'Loss time 29-10'!$H$3:$H$40,$A205,'Loss time 29-10'!$G$3:$G$40,F$202)</f>
        <v>0</v>
      </c>
      <c r="G205" s="23" t="n">
        <f aca="false">SUMIFS('Loss time 29-10'!$Q$3:$Q$40,'Loss time 29-10'!$H$3:$H$40,$A205,'Loss time 29-10'!$G$3:$G$40,G$202)</f>
        <v>0</v>
      </c>
      <c r="H205" s="23" t="n">
        <f aca="false">SUMIFS('Loss time 29-10'!$Q$3:$Q$40,'Loss time 29-10'!$H$3:$H$40,$A205,'Loss time 29-10'!$G$3:$G$40,H$202)</f>
        <v>0</v>
      </c>
      <c r="I205" s="23" t="n">
        <f aca="false">SUMIFS('Loss time 29-10'!$Q$3:$Q$40,'Loss time 29-10'!$H$3:$H$40,$A205,'Loss time 29-10'!$G$3:$G$40,I$202)</f>
        <v>0</v>
      </c>
      <c r="J205" s="24" t="n">
        <f aca="false">SUM(C205:I205)</f>
        <v>0</v>
      </c>
    </row>
    <row r="206" customFormat="false" ht="15" hidden="false" customHeight="false" outlineLevel="0" collapsed="false">
      <c r="A206" s="22" t="s">
        <v>52</v>
      </c>
      <c r="B206" s="22" t="s">
        <v>53</v>
      </c>
      <c r="C206" s="23" t="n">
        <f aca="false">SUMIFS('Loss time 29-10'!$Q$3:$Q$40,'Loss time 29-10'!$H$3:$H$40,$A206,'Loss time 29-10'!$G$3:$G$40,C$202)</f>
        <v>0</v>
      </c>
      <c r="D206" s="23" t="n">
        <f aca="false">SUMIFS('Loss time 29-10'!$Q$3:$Q$40,'Loss time 29-10'!$H$3:$H$40,$A206,'Loss time 29-10'!$G$3:$G$40,D$202)</f>
        <v>0</v>
      </c>
      <c r="E206" s="23" t="n">
        <f aca="false">SUMIFS('Loss time 29-10'!$Q$3:$Q$40,'Loss time 29-10'!$H$3:$H$40,$A206,'Loss time 29-10'!$G$3:$G$40,E$202)</f>
        <v>36</v>
      </c>
      <c r="F206" s="23" t="n">
        <f aca="false">SUMIFS('Loss time 29-10'!$Q$3:$Q$40,'Loss time 29-10'!$H$3:$H$40,$A206,'Loss time 29-10'!$G$3:$G$40,F$202)</f>
        <v>85.5</v>
      </c>
      <c r="G206" s="23" t="n">
        <f aca="false">SUMIFS('Loss time 29-10'!$Q$3:$Q$40,'Loss time 29-10'!$H$3:$H$40,$A206,'Loss time 29-10'!$G$3:$G$40,G$202)</f>
        <v>0</v>
      </c>
      <c r="H206" s="23" t="n">
        <f aca="false">SUMIFS('Loss time 29-10'!$Q$3:$Q$40,'Loss time 29-10'!$H$3:$H$40,$A206,'Loss time 29-10'!$G$3:$G$40,H$202)</f>
        <v>36</v>
      </c>
      <c r="I206" s="23" t="n">
        <f aca="false">SUMIFS('Loss time 29-10'!$Q$3:$Q$40,'Loss time 29-10'!$H$3:$H$40,$A206,'Loss time 29-10'!$G$3:$G$40,I$202)</f>
        <v>0</v>
      </c>
      <c r="J206" s="24" t="n">
        <f aca="false">SUM(C206:I206)</f>
        <v>157.5</v>
      </c>
    </row>
    <row r="207" customFormat="false" ht="15" hidden="false" customHeight="false" outlineLevel="0" collapsed="false">
      <c r="A207" s="25" t="s">
        <v>75</v>
      </c>
      <c r="B207" s="25"/>
      <c r="C207" s="24" t="n">
        <f aca="false">SUM(C203:C206)</f>
        <v>16</v>
      </c>
      <c r="D207" s="24" t="n">
        <f aca="false">SUM(D203:D206)</f>
        <v>121.5</v>
      </c>
      <c r="E207" s="24" t="n">
        <f aca="false">SUM(E203:E206)</f>
        <v>120.5</v>
      </c>
      <c r="F207" s="24" t="n">
        <f aca="false">SUM(F203:F206)</f>
        <v>135.5</v>
      </c>
      <c r="G207" s="24" t="n">
        <f aca="false">SUM(G203:G206)</f>
        <v>0</v>
      </c>
      <c r="H207" s="24" t="n">
        <f aca="false">SUM(H203:H206)</f>
        <v>36</v>
      </c>
      <c r="I207" s="24" t="n">
        <f aca="false">SUM(I203:I206)</f>
        <v>0</v>
      </c>
      <c r="J207" s="24" t="n">
        <f aca="false">SUM(J203:J206)</f>
        <v>429.5</v>
      </c>
    </row>
    <row r="210" customFormat="false" ht="15" hidden="false" customHeight="false" outlineLevel="0" collapsed="false">
      <c r="A210" s="18" t="s">
        <v>371</v>
      </c>
    </row>
    <row r="211" customFormat="false" ht="25.35" hidden="false" customHeight="false" outlineLevel="0" collapsed="false">
      <c r="A211" s="2" t="s">
        <v>8</v>
      </c>
      <c r="B211" s="2" t="s">
        <v>347</v>
      </c>
      <c r="C211" s="2" t="s">
        <v>18</v>
      </c>
      <c r="D211" s="2" t="s">
        <v>23</v>
      </c>
      <c r="E211" s="2" t="s">
        <v>25</v>
      </c>
      <c r="F211" s="2" t="s">
        <v>28</v>
      </c>
      <c r="G211" s="2" t="s">
        <v>68</v>
      </c>
      <c r="H211" s="2" t="s">
        <v>72</v>
      </c>
      <c r="I211" s="2" t="s">
        <v>348</v>
      </c>
      <c r="J211" s="2" t="s">
        <v>75</v>
      </c>
    </row>
    <row r="212" customFormat="false" ht="15" hidden="false" customHeight="false" outlineLevel="0" collapsed="false">
      <c r="A212" s="22" t="s">
        <v>19</v>
      </c>
      <c r="B212" s="22" t="s">
        <v>20</v>
      </c>
      <c r="C212" s="23" t="n">
        <f aca="false">SUMIFS('Loss time 30-10'!$Q$3:$Q$39,'Loss time 30-10'!$H$3:$H$39,$A212,'Loss time 30-10'!$G$3:$G$39,C$211)</f>
        <v>3.5</v>
      </c>
      <c r="D212" s="23" t="n">
        <f aca="false">SUMIFS('Loss time 30-10'!$Q$3:$Q$39,'Loss time 30-10'!$H$3:$H$39,$A212,'Loss time 30-10'!$G$3:$G$39,D$211)</f>
        <v>9</v>
      </c>
      <c r="E212" s="23" t="n">
        <f aca="false">SUMIFS('Loss time 30-10'!$Q$3:$Q$39,'Loss time 30-10'!$H$3:$H$39,$A212,'Loss time 30-10'!$G$3:$G$39,E$211)</f>
        <v>9.5</v>
      </c>
      <c r="F212" s="23" t="n">
        <f aca="false">SUMIFS('Loss time 30-10'!$Q$3:$Q$39,'Loss time 30-10'!$H$3:$H$39,$A212,'Loss time 30-10'!$G$3:$G$39,F$211)</f>
        <v>25</v>
      </c>
      <c r="G212" s="23" t="n">
        <f aca="false">SUMIFS('Loss time 30-10'!$Q$3:$Q$39,'Loss time 30-10'!$H$3:$H$39,$A212,'Loss time 30-10'!$G$3:$G$39,G$211)</f>
        <v>0</v>
      </c>
      <c r="H212" s="23" t="n">
        <f aca="false">SUMIFS('Loss time 30-10'!$Q$3:$Q$39,'Loss time 30-10'!$H$3:$H$39,$A212,'Loss time 30-10'!$G$3:$G$39,H$211)</f>
        <v>0</v>
      </c>
      <c r="I212" s="23" t="n">
        <f aca="false">SUMIFS('Loss time 30-10'!$Q$3:$Q$39,'Loss time 30-10'!$H$3:$H$39,$A212,'Loss time 30-10'!$G$3:$G$39,I$211)</f>
        <v>0</v>
      </c>
      <c r="J212" s="24" t="n">
        <f aca="false">SUM(C212:I212)</f>
        <v>47</v>
      </c>
    </row>
    <row r="213" customFormat="false" ht="15" hidden="false" customHeight="false" outlineLevel="0" collapsed="false">
      <c r="A213" s="22" t="s">
        <v>30</v>
      </c>
      <c r="B213" s="22" t="s">
        <v>31</v>
      </c>
      <c r="C213" s="23" t="n">
        <f aca="false">SUMIFS('Loss time 30-10'!$Q$3:$Q$39,'Loss time 30-10'!$H$3:$H$39,$A213,'Loss time 30-10'!$G$3:$G$39,C$211)</f>
        <v>12.5</v>
      </c>
      <c r="D213" s="23" t="n">
        <f aca="false">SUMIFS('Loss time 30-10'!$Q$3:$Q$39,'Loss time 30-10'!$H$3:$H$39,$A213,'Loss time 30-10'!$G$3:$G$39,D$211)</f>
        <v>112.5</v>
      </c>
      <c r="E213" s="23" t="n">
        <f aca="false">SUMIFS('Loss time 30-10'!$Q$3:$Q$39,'Loss time 30-10'!$H$3:$H$39,$A213,'Loss time 30-10'!$G$3:$G$39,E$211)</f>
        <v>75</v>
      </c>
      <c r="F213" s="23" t="n">
        <f aca="false">SUMIFS('Loss time 30-10'!$Q$3:$Q$39,'Loss time 30-10'!$H$3:$H$39,$A213,'Loss time 30-10'!$G$3:$G$39,F$211)</f>
        <v>25</v>
      </c>
      <c r="G213" s="23" t="n">
        <f aca="false">SUMIFS('Loss time 30-10'!$Q$3:$Q$39,'Loss time 30-10'!$H$3:$H$39,$A213,'Loss time 30-10'!$G$3:$G$39,G$211)</f>
        <v>0</v>
      </c>
      <c r="H213" s="23" t="n">
        <f aca="false">SUMIFS('Loss time 30-10'!$Q$3:$Q$39,'Loss time 30-10'!$H$3:$H$39,$A213,'Loss time 30-10'!$G$3:$G$39,H$211)</f>
        <v>0</v>
      </c>
      <c r="I213" s="23" t="n">
        <f aca="false">SUMIFS('Loss time 30-10'!$Q$3:$Q$39,'Loss time 30-10'!$H$3:$H$39,$A213,'Loss time 30-10'!$G$3:$G$39,I$211)</f>
        <v>0</v>
      </c>
      <c r="J213" s="24" t="n">
        <f aca="false">SUM(C213:I213)</f>
        <v>225</v>
      </c>
    </row>
    <row r="214" customFormat="false" ht="15" hidden="false" customHeight="false" outlineLevel="0" collapsed="false">
      <c r="A214" s="22" t="s">
        <v>48</v>
      </c>
      <c r="B214" s="22" t="s">
        <v>49</v>
      </c>
      <c r="C214" s="23" t="n">
        <f aca="false">SUMIFS('Loss time 30-10'!$Q$3:$Q$39,'Loss time 30-10'!$H$3:$H$39,$A214,'Loss time 30-10'!$G$3:$G$39,C$211)</f>
        <v>0</v>
      </c>
      <c r="D214" s="23" t="n">
        <f aca="false">SUMIFS('Loss time 30-10'!$Q$3:$Q$39,'Loss time 30-10'!$H$3:$H$39,$A214,'Loss time 30-10'!$G$3:$G$39,D$211)</f>
        <v>0</v>
      </c>
      <c r="E214" s="23" t="n">
        <f aca="false">SUMIFS('Loss time 30-10'!$Q$3:$Q$39,'Loss time 30-10'!$H$3:$H$39,$A214,'Loss time 30-10'!$G$3:$G$39,E$211)</f>
        <v>0</v>
      </c>
      <c r="F214" s="23" t="n">
        <f aca="false">SUMIFS('Loss time 30-10'!$Q$3:$Q$39,'Loss time 30-10'!$H$3:$H$39,$A214,'Loss time 30-10'!$G$3:$G$39,F$211)</f>
        <v>0</v>
      </c>
      <c r="G214" s="23" t="n">
        <f aca="false">SUMIFS('Loss time 30-10'!$Q$3:$Q$39,'Loss time 30-10'!$H$3:$H$39,$A214,'Loss time 30-10'!$G$3:$G$39,G$211)</f>
        <v>0</v>
      </c>
      <c r="H214" s="23" t="n">
        <f aca="false">SUMIFS('Loss time 30-10'!$Q$3:$Q$39,'Loss time 30-10'!$H$3:$H$39,$A214,'Loss time 30-10'!$G$3:$G$39,H$211)</f>
        <v>0</v>
      </c>
      <c r="I214" s="23" t="n">
        <f aca="false">SUMIFS('Loss time 30-10'!$Q$3:$Q$39,'Loss time 30-10'!$H$3:$H$39,$A214,'Loss time 30-10'!$G$3:$G$39,I$211)</f>
        <v>0</v>
      </c>
      <c r="J214" s="24" t="n">
        <f aca="false">SUM(C214:I214)</f>
        <v>0</v>
      </c>
    </row>
    <row r="215" customFormat="false" ht="15" hidden="false" customHeight="false" outlineLevel="0" collapsed="false">
      <c r="A215" s="22" t="s">
        <v>52</v>
      </c>
      <c r="B215" s="22" t="s">
        <v>53</v>
      </c>
      <c r="C215" s="23" t="n">
        <f aca="false">SUMIFS('Loss time 30-10'!$Q$3:$Q$39,'Loss time 30-10'!$H$3:$H$39,$A215,'Loss time 30-10'!$G$3:$G$39,C$211)</f>
        <v>0</v>
      </c>
      <c r="D215" s="23" t="n">
        <f aca="false">SUMIFS('Loss time 30-10'!$Q$3:$Q$39,'Loss time 30-10'!$H$3:$H$39,$A215,'Loss time 30-10'!$G$3:$G$39,D$211)</f>
        <v>0</v>
      </c>
      <c r="E215" s="23" t="n">
        <f aca="false">SUMIFS('Loss time 30-10'!$Q$3:$Q$39,'Loss time 30-10'!$H$3:$H$39,$A215,'Loss time 30-10'!$G$3:$G$39,E$211)</f>
        <v>36</v>
      </c>
      <c r="F215" s="23" t="n">
        <f aca="false">SUMIFS('Loss time 30-10'!$Q$3:$Q$39,'Loss time 30-10'!$H$3:$H$39,$A215,'Loss time 30-10'!$G$3:$G$39,F$211)</f>
        <v>81</v>
      </c>
      <c r="G215" s="23" t="n">
        <f aca="false">SUMIFS('Loss time 30-10'!$Q$3:$Q$39,'Loss time 30-10'!$H$3:$H$39,$A215,'Loss time 30-10'!$G$3:$G$39,G$211)</f>
        <v>0</v>
      </c>
      <c r="H215" s="23" t="n">
        <f aca="false">SUMIFS('Loss time 30-10'!$Q$3:$Q$39,'Loss time 30-10'!$H$3:$H$39,$A215,'Loss time 30-10'!$G$3:$G$39,H$211)</f>
        <v>36</v>
      </c>
      <c r="I215" s="23" t="n">
        <f aca="false">SUMIFS('Loss time 30-10'!$Q$3:$Q$39,'Loss time 30-10'!$H$3:$H$39,$A215,'Loss time 30-10'!$G$3:$G$39,I$211)</f>
        <v>0</v>
      </c>
      <c r="J215" s="24" t="n">
        <f aca="false">SUM(C215:I215)</f>
        <v>153</v>
      </c>
    </row>
    <row r="216" customFormat="false" ht="15" hidden="false" customHeight="false" outlineLevel="0" collapsed="false">
      <c r="A216" s="25" t="s">
        <v>75</v>
      </c>
      <c r="B216" s="25"/>
      <c r="C216" s="24" t="n">
        <f aca="false">SUM(C212:C215)</f>
        <v>16</v>
      </c>
      <c r="D216" s="24" t="n">
        <f aca="false">SUM(D212:D215)</f>
        <v>121.5</v>
      </c>
      <c r="E216" s="24" t="n">
        <f aca="false">SUM(E212:E215)</f>
        <v>120.5</v>
      </c>
      <c r="F216" s="24" t="n">
        <f aca="false">SUM(F212:F215)</f>
        <v>131</v>
      </c>
      <c r="G216" s="24" t="n">
        <f aca="false">SUM(G212:G215)</f>
        <v>0</v>
      </c>
      <c r="H216" s="24" t="n">
        <f aca="false">SUM(H212:H215)</f>
        <v>36</v>
      </c>
      <c r="I216" s="24" t="n">
        <f aca="false">SUM(I212:I215)</f>
        <v>0</v>
      </c>
      <c r="J216" s="24" t="n">
        <f aca="false">SUM(J212:J215)</f>
        <v>425</v>
      </c>
    </row>
    <row r="218" customFormat="false" ht="15" hidden="false" customHeight="false" outlineLevel="0" collapsed="false">
      <c r="A218" s="20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16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21" t="s">
        <v>373</v>
      </c>
    </row>
    <row r="3" customFormat="false" ht="31.5" hidden="false" customHeight="true" outlineLevel="0" collapsed="false">
      <c r="A3" s="2" t="s">
        <v>374</v>
      </c>
      <c r="B3" s="2" t="s">
        <v>375</v>
      </c>
      <c r="C3" s="2" t="s">
        <v>16</v>
      </c>
      <c r="D3" s="2" t="s">
        <v>376</v>
      </c>
      <c r="E3" s="2" t="s">
        <v>377</v>
      </c>
      <c r="F3" s="2" t="s">
        <v>378</v>
      </c>
      <c r="G3" s="2" t="s">
        <v>379</v>
      </c>
      <c r="H3" s="2" t="s">
        <v>380</v>
      </c>
      <c r="I3" s="2" t="s">
        <v>381</v>
      </c>
      <c r="J3" s="2" t="s">
        <v>382</v>
      </c>
      <c r="K3" s="2" t="s">
        <v>383</v>
      </c>
      <c r="L3" s="2" t="s">
        <v>384</v>
      </c>
      <c r="M3" s="2" t="s">
        <v>385</v>
      </c>
      <c r="N3" s="2" t="s">
        <v>386</v>
      </c>
      <c r="O3" s="2" t="s">
        <v>387</v>
      </c>
      <c r="P3" s="2" t="s">
        <v>388</v>
      </c>
      <c r="Q3" s="2" t="s">
        <v>389</v>
      </c>
      <c r="R3" s="2" t="s">
        <v>390</v>
      </c>
      <c r="S3" s="2" t="s">
        <v>391</v>
      </c>
      <c r="T3" s="2" t="s">
        <v>392</v>
      </c>
      <c r="U3" s="2" t="s">
        <v>393</v>
      </c>
      <c r="V3" s="2" t="s">
        <v>394</v>
      </c>
      <c r="W3" s="2" t="s">
        <v>395</v>
      </c>
      <c r="X3" s="2" t="s">
        <v>396</v>
      </c>
      <c r="Y3" s="2" t="s">
        <v>397</v>
      </c>
      <c r="Z3" s="2" t="s">
        <v>398</v>
      </c>
      <c r="AA3" s="2" t="s">
        <v>399</v>
      </c>
      <c r="AB3" s="2" t="s">
        <v>400</v>
      </c>
    </row>
    <row r="4" customFormat="false" ht="15" hidden="false" customHeight="false" outlineLevel="0" collapsed="false">
      <c r="A4" s="8" t="s">
        <v>401</v>
      </c>
      <c r="B4" s="8" t="s">
        <v>28</v>
      </c>
      <c r="C4" s="8" t="n">
        <v>2</v>
      </c>
      <c r="D4" s="8" t="s">
        <v>402</v>
      </c>
      <c r="E4" s="8" t="s">
        <v>402</v>
      </c>
      <c r="F4" s="8" t="s">
        <v>402</v>
      </c>
      <c r="G4" s="8" t="s">
        <v>402</v>
      </c>
      <c r="H4" s="8" t="s">
        <v>402</v>
      </c>
      <c r="I4" s="8" t="s">
        <v>402</v>
      </c>
      <c r="J4" s="8" t="s">
        <v>402</v>
      </c>
      <c r="K4" s="8" t="s">
        <v>402</v>
      </c>
      <c r="L4" s="8" t="s">
        <v>402</v>
      </c>
      <c r="M4" s="8" t="s">
        <v>402</v>
      </c>
      <c r="N4" s="8" t="s">
        <v>402</v>
      </c>
      <c r="O4" s="8" t="s">
        <v>402</v>
      </c>
      <c r="P4" s="8" t="s">
        <v>402</v>
      </c>
      <c r="Q4" s="8" t="s">
        <v>402</v>
      </c>
      <c r="R4" s="8" t="s">
        <v>402</v>
      </c>
      <c r="S4" s="8" t="s">
        <v>402</v>
      </c>
      <c r="T4" s="8" t="s">
        <v>402</v>
      </c>
      <c r="U4" s="8" t="s">
        <v>402</v>
      </c>
      <c r="V4" s="8" t="s">
        <v>402</v>
      </c>
      <c r="W4" s="8" t="s">
        <v>402</v>
      </c>
      <c r="X4" s="8" t="s">
        <v>402</v>
      </c>
      <c r="Y4" s="8" t="s">
        <v>48</v>
      </c>
      <c r="Z4" s="8" t="s">
        <v>403</v>
      </c>
      <c r="AA4" s="8" t="s">
        <v>404</v>
      </c>
      <c r="AB4" s="26" t="n">
        <f aca="false">WORKDAY.INTL(DATE(2026,10,28),12,11)</f>
        <v>46337</v>
      </c>
    </row>
    <row r="5" customFormat="false" ht="15" hidden="false" customHeight="false" outlineLevel="0" collapsed="false">
      <c r="A5" s="8" t="s">
        <v>401</v>
      </c>
      <c r="B5" s="8" t="s">
        <v>25</v>
      </c>
      <c r="C5" s="8" t="n">
        <v>2</v>
      </c>
      <c r="D5" s="8" t="s">
        <v>402</v>
      </c>
      <c r="E5" s="8" t="s">
        <v>402</v>
      </c>
      <c r="F5" s="8" t="s">
        <v>402</v>
      </c>
      <c r="G5" s="8" t="s">
        <v>402</v>
      </c>
      <c r="H5" s="8" t="s">
        <v>402</v>
      </c>
      <c r="I5" s="8" t="s">
        <v>402</v>
      </c>
      <c r="J5" s="8" t="s">
        <v>402</v>
      </c>
      <c r="K5" s="8" t="s">
        <v>402</v>
      </c>
      <c r="L5" s="8" t="s">
        <v>402</v>
      </c>
      <c r="M5" s="8" t="s">
        <v>402</v>
      </c>
      <c r="N5" s="8" t="s">
        <v>402</v>
      </c>
      <c r="O5" s="8" t="s">
        <v>402</v>
      </c>
      <c r="P5" s="8" t="s">
        <v>402</v>
      </c>
      <c r="Q5" s="8" t="s">
        <v>402</v>
      </c>
      <c r="R5" s="8" t="s">
        <v>402</v>
      </c>
      <c r="S5" s="8" t="s">
        <v>402</v>
      </c>
      <c r="T5" s="8" t="s">
        <v>402</v>
      </c>
      <c r="U5" s="8" t="s">
        <v>402</v>
      </c>
      <c r="V5" s="8" t="s">
        <v>402</v>
      </c>
      <c r="W5" s="8" t="s">
        <v>402</v>
      </c>
      <c r="X5" s="8" t="s">
        <v>402</v>
      </c>
      <c r="Y5" s="8" t="s">
        <v>48</v>
      </c>
      <c r="Z5" s="8" t="s">
        <v>403</v>
      </c>
      <c r="AA5" s="8" t="s">
        <v>404</v>
      </c>
      <c r="AB5" s="26" t="n">
        <f aca="false">WORKDAY.INTL(DATE(2026,10,28),12,11)</f>
        <v>46337</v>
      </c>
    </row>
    <row r="6" customFormat="false" ht="15" hidden="false" customHeight="false" outlineLevel="0" collapsed="false">
      <c r="A6" s="8" t="s">
        <v>401</v>
      </c>
      <c r="B6" s="8" t="s">
        <v>72</v>
      </c>
      <c r="C6" s="8" t="n">
        <v>2</v>
      </c>
      <c r="D6" s="8" t="s">
        <v>402</v>
      </c>
      <c r="E6" s="8" t="s">
        <v>402</v>
      </c>
      <c r="F6" s="8" t="s">
        <v>402</v>
      </c>
      <c r="G6" s="8" t="s">
        <v>402</v>
      </c>
      <c r="H6" s="8" t="s">
        <v>402</v>
      </c>
      <c r="I6" s="8" t="s">
        <v>402</v>
      </c>
      <c r="J6" s="8" t="s">
        <v>402</v>
      </c>
      <c r="K6" s="8" t="s">
        <v>402</v>
      </c>
      <c r="L6" s="8" t="s">
        <v>402</v>
      </c>
      <c r="M6" s="8" t="s">
        <v>402</v>
      </c>
      <c r="N6" s="8" t="s">
        <v>402</v>
      </c>
      <c r="O6" s="8" t="s">
        <v>402</v>
      </c>
      <c r="P6" s="8" t="s">
        <v>402</v>
      </c>
      <c r="Q6" s="8" t="s">
        <v>402</v>
      </c>
      <c r="R6" s="8" t="s">
        <v>402</v>
      </c>
      <c r="S6" s="8" t="s">
        <v>402</v>
      </c>
      <c r="T6" s="8" t="s">
        <v>402</v>
      </c>
      <c r="U6" s="8" t="s">
        <v>402</v>
      </c>
      <c r="V6" s="8" t="s">
        <v>402</v>
      </c>
      <c r="W6" s="8" t="s">
        <v>402</v>
      </c>
      <c r="X6" s="8" t="s">
        <v>402</v>
      </c>
      <c r="Y6" s="8" t="s">
        <v>48</v>
      </c>
      <c r="Z6" s="8" t="s">
        <v>403</v>
      </c>
      <c r="AA6" s="8" t="s">
        <v>404</v>
      </c>
      <c r="AB6" s="26" t="n">
        <f aca="false">WORKDAY.INTL(DATE(2026,10,28),12,11)</f>
        <v>46337</v>
      </c>
    </row>
    <row r="7" customFormat="false" ht="15" hidden="false" customHeight="false" outlineLevel="0" collapsed="false">
      <c r="A7" s="8" t="s">
        <v>405</v>
      </c>
      <c r="B7" s="8" t="s">
        <v>28</v>
      </c>
      <c r="C7" s="8" t="n">
        <v>4</v>
      </c>
      <c r="D7" s="8" t="s">
        <v>402</v>
      </c>
      <c r="E7" s="8" t="s">
        <v>402</v>
      </c>
      <c r="F7" s="8" t="s">
        <v>402</v>
      </c>
      <c r="G7" s="8" t="s">
        <v>402</v>
      </c>
      <c r="H7" s="8" t="s">
        <v>402</v>
      </c>
      <c r="I7" s="8" t="s">
        <v>402</v>
      </c>
      <c r="J7" s="8" t="s">
        <v>402</v>
      </c>
      <c r="K7" s="8" t="s">
        <v>402</v>
      </c>
      <c r="L7" s="8" t="s">
        <v>402</v>
      </c>
      <c r="M7" s="8" t="s">
        <v>402</v>
      </c>
      <c r="N7" s="8" t="s">
        <v>402</v>
      </c>
      <c r="O7" s="8" t="s">
        <v>402</v>
      </c>
      <c r="P7" s="8" t="s">
        <v>402</v>
      </c>
      <c r="Q7" s="8" t="s">
        <v>402</v>
      </c>
      <c r="R7" s="8" t="s">
        <v>402</v>
      </c>
      <c r="S7" s="8" t="s">
        <v>402</v>
      </c>
      <c r="T7" s="8" t="s">
        <v>402</v>
      </c>
      <c r="U7" s="8" t="s">
        <v>402</v>
      </c>
      <c r="V7" s="8" t="s">
        <v>402</v>
      </c>
      <c r="W7" s="8" t="s">
        <v>402</v>
      </c>
      <c r="X7" s="8" t="s">
        <v>48</v>
      </c>
      <c r="Y7" s="8" t="s">
        <v>403</v>
      </c>
      <c r="Z7" s="8" t="s">
        <v>404</v>
      </c>
      <c r="AA7" s="8" t="s">
        <v>406</v>
      </c>
      <c r="AB7" s="26" t="n">
        <f aca="false">WORKDAY.INTL(DATE(2026,10,27),12,11)</f>
        <v>46336</v>
      </c>
    </row>
    <row r="8" customFormat="false" ht="15" hidden="false" customHeight="false" outlineLevel="0" collapsed="false">
      <c r="A8" s="8" t="s">
        <v>405</v>
      </c>
      <c r="B8" s="8" t="s">
        <v>72</v>
      </c>
      <c r="C8" s="8" t="n">
        <v>1</v>
      </c>
      <c r="D8" s="8" t="s">
        <v>402</v>
      </c>
      <c r="E8" s="8" t="s">
        <v>402</v>
      </c>
      <c r="F8" s="8" t="s">
        <v>402</v>
      </c>
      <c r="G8" s="8" t="s">
        <v>402</v>
      </c>
      <c r="H8" s="8" t="s">
        <v>402</v>
      </c>
      <c r="I8" s="8" t="s">
        <v>402</v>
      </c>
      <c r="J8" s="8" t="s">
        <v>402</v>
      </c>
      <c r="K8" s="8" t="s">
        <v>402</v>
      </c>
      <c r="L8" s="8" t="s">
        <v>402</v>
      </c>
      <c r="M8" s="8" t="s">
        <v>402</v>
      </c>
      <c r="N8" s="8" t="s">
        <v>402</v>
      </c>
      <c r="O8" s="8" t="s">
        <v>402</v>
      </c>
      <c r="P8" s="8" t="s">
        <v>402</v>
      </c>
      <c r="Q8" s="8" t="s">
        <v>402</v>
      </c>
      <c r="R8" s="8" t="s">
        <v>402</v>
      </c>
      <c r="S8" s="8" t="s">
        <v>402</v>
      </c>
      <c r="T8" s="8" t="s">
        <v>402</v>
      </c>
      <c r="U8" s="8" t="s">
        <v>402</v>
      </c>
      <c r="V8" s="8" t="s">
        <v>402</v>
      </c>
      <c r="W8" s="8" t="s">
        <v>402</v>
      </c>
      <c r="X8" s="8" t="s">
        <v>48</v>
      </c>
      <c r="Y8" s="8" t="s">
        <v>403</v>
      </c>
      <c r="Z8" s="8" t="s">
        <v>404</v>
      </c>
      <c r="AA8" s="8" t="s">
        <v>406</v>
      </c>
      <c r="AB8" s="26" t="n">
        <f aca="false">WORKDAY.INTL(DATE(2026,10,27),12,11)</f>
        <v>46336</v>
      </c>
    </row>
    <row r="9" customFormat="false" ht="15" hidden="false" customHeight="false" outlineLevel="0" collapsed="false">
      <c r="A9" s="8" t="s">
        <v>407</v>
      </c>
      <c r="B9" s="8" t="s">
        <v>28</v>
      </c>
      <c r="C9" s="8" t="n">
        <v>2</v>
      </c>
      <c r="D9" s="8" t="s">
        <v>402</v>
      </c>
      <c r="E9" s="8" t="s">
        <v>402</v>
      </c>
      <c r="F9" s="8" t="s">
        <v>402</v>
      </c>
      <c r="G9" s="8" t="s">
        <v>402</v>
      </c>
      <c r="H9" s="8" t="s">
        <v>402</v>
      </c>
      <c r="I9" s="8" t="s">
        <v>402</v>
      </c>
      <c r="J9" s="8" t="s">
        <v>402</v>
      </c>
      <c r="K9" s="8" t="s">
        <v>402</v>
      </c>
      <c r="L9" s="8" t="s">
        <v>402</v>
      </c>
      <c r="M9" s="8" t="s">
        <v>402</v>
      </c>
      <c r="N9" s="8" t="s">
        <v>402</v>
      </c>
      <c r="O9" s="8" t="s">
        <v>402</v>
      </c>
      <c r="P9" s="8" t="s">
        <v>402</v>
      </c>
      <c r="Q9" s="8" t="s">
        <v>402</v>
      </c>
      <c r="R9" s="8" t="s">
        <v>402</v>
      </c>
      <c r="S9" s="8" t="s">
        <v>402</v>
      </c>
      <c r="T9" s="8" t="s">
        <v>402</v>
      </c>
      <c r="U9" s="8" t="s">
        <v>402</v>
      </c>
      <c r="V9" s="8" t="s">
        <v>402</v>
      </c>
      <c r="W9" s="8" t="s">
        <v>48</v>
      </c>
      <c r="X9" s="8" t="s">
        <v>403</v>
      </c>
      <c r="Y9" s="8" t="s">
        <v>404</v>
      </c>
      <c r="Z9" s="8" t="s">
        <v>406</v>
      </c>
      <c r="AA9" s="8" t="s">
        <v>408</v>
      </c>
      <c r="AB9" s="26" t="n">
        <f aca="false">WORKDAY.INTL(DATE(2026,10,26),12,11)</f>
        <v>46335</v>
      </c>
    </row>
    <row r="10" customFormat="false" ht="15" hidden="false" customHeight="false" outlineLevel="0" collapsed="false">
      <c r="A10" s="8" t="s">
        <v>409</v>
      </c>
      <c r="B10" s="8" t="s">
        <v>72</v>
      </c>
      <c r="C10" s="8" t="n">
        <v>1</v>
      </c>
      <c r="D10" s="8" t="s">
        <v>402</v>
      </c>
      <c r="E10" s="8" t="s">
        <v>402</v>
      </c>
      <c r="F10" s="8" t="s">
        <v>402</v>
      </c>
      <c r="G10" s="8" t="s">
        <v>402</v>
      </c>
      <c r="H10" s="8" t="s">
        <v>402</v>
      </c>
      <c r="I10" s="8" t="s">
        <v>402</v>
      </c>
      <c r="J10" s="8" t="s">
        <v>402</v>
      </c>
      <c r="K10" s="8" t="s">
        <v>402</v>
      </c>
      <c r="L10" s="8" t="s">
        <v>402</v>
      </c>
      <c r="M10" s="8" t="s">
        <v>402</v>
      </c>
      <c r="N10" s="8" t="s">
        <v>402</v>
      </c>
      <c r="O10" s="8" t="s">
        <v>402</v>
      </c>
      <c r="P10" s="8" t="s">
        <v>402</v>
      </c>
      <c r="Q10" s="8" t="s">
        <v>402</v>
      </c>
      <c r="R10" s="8" t="s">
        <v>402</v>
      </c>
      <c r="S10" s="8" t="s">
        <v>402</v>
      </c>
      <c r="T10" s="8" t="s">
        <v>48</v>
      </c>
      <c r="U10" s="8" t="s">
        <v>403</v>
      </c>
      <c r="V10" s="8" t="s">
        <v>402</v>
      </c>
      <c r="W10" s="8" t="s">
        <v>404</v>
      </c>
      <c r="X10" s="8" t="s">
        <v>406</v>
      </c>
      <c r="Y10" s="8" t="s">
        <v>408</v>
      </c>
      <c r="Z10" s="8" t="s">
        <v>410</v>
      </c>
      <c r="AA10" s="8" t="s">
        <v>411</v>
      </c>
      <c r="AB10" s="26" t="n">
        <f aca="false">WORKDAY.INTL(DATE(2026,10,23),12,11)</f>
        <v>46332</v>
      </c>
    </row>
    <row r="11" customFormat="false" ht="15" hidden="false" customHeight="false" outlineLevel="0" collapsed="false">
      <c r="A11" s="8" t="s">
        <v>412</v>
      </c>
      <c r="B11" s="8" t="s">
        <v>72</v>
      </c>
      <c r="C11" s="8" t="n">
        <v>3</v>
      </c>
      <c r="D11" s="8" t="s">
        <v>402</v>
      </c>
      <c r="E11" s="8" t="s">
        <v>402</v>
      </c>
      <c r="F11" s="8" t="s">
        <v>402</v>
      </c>
      <c r="G11" s="8" t="s">
        <v>402</v>
      </c>
      <c r="H11" s="8" t="s">
        <v>402</v>
      </c>
      <c r="I11" s="8" t="s">
        <v>402</v>
      </c>
      <c r="J11" s="8" t="s">
        <v>402</v>
      </c>
      <c r="K11" s="8" t="s">
        <v>402</v>
      </c>
      <c r="L11" s="8" t="s">
        <v>402</v>
      </c>
      <c r="M11" s="8" t="s">
        <v>402</v>
      </c>
      <c r="N11" s="8" t="s">
        <v>402</v>
      </c>
      <c r="O11" s="8" t="s">
        <v>402</v>
      </c>
      <c r="P11" s="8" t="s">
        <v>402</v>
      </c>
      <c r="Q11" s="8" t="s">
        <v>402</v>
      </c>
      <c r="R11" s="8" t="s">
        <v>402</v>
      </c>
      <c r="S11" s="8" t="s">
        <v>48</v>
      </c>
      <c r="T11" s="8" t="s">
        <v>403</v>
      </c>
      <c r="U11" s="8" t="s">
        <v>404</v>
      </c>
      <c r="V11" s="8" t="s">
        <v>402</v>
      </c>
      <c r="W11" s="8" t="s">
        <v>406</v>
      </c>
      <c r="X11" s="8" t="s">
        <v>408</v>
      </c>
      <c r="Y11" s="8" t="s">
        <v>410</v>
      </c>
      <c r="Z11" s="8" t="s">
        <v>411</v>
      </c>
      <c r="AA11" s="8" t="s">
        <v>413</v>
      </c>
      <c r="AB11" s="26" t="n">
        <f aca="false">WORKDAY.INTL(DATE(2026,10,22),12,11)</f>
        <v>46331</v>
      </c>
    </row>
    <row r="12" customFormat="false" ht="15" hidden="false" customHeight="false" outlineLevel="0" collapsed="false">
      <c r="A12" s="8" t="s">
        <v>412</v>
      </c>
      <c r="B12" s="8" t="s">
        <v>25</v>
      </c>
      <c r="C12" s="8" t="n">
        <v>1</v>
      </c>
      <c r="D12" s="8" t="s">
        <v>402</v>
      </c>
      <c r="E12" s="8" t="s">
        <v>402</v>
      </c>
      <c r="F12" s="8" t="s">
        <v>402</v>
      </c>
      <c r="G12" s="8" t="s">
        <v>402</v>
      </c>
      <c r="H12" s="8" t="s">
        <v>402</v>
      </c>
      <c r="I12" s="8" t="s">
        <v>402</v>
      </c>
      <c r="J12" s="8" t="s">
        <v>402</v>
      </c>
      <c r="K12" s="8" t="s">
        <v>402</v>
      </c>
      <c r="L12" s="8" t="s">
        <v>402</v>
      </c>
      <c r="M12" s="8" t="s">
        <v>402</v>
      </c>
      <c r="N12" s="8" t="s">
        <v>402</v>
      </c>
      <c r="O12" s="8" t="s">
        <v>402</v>
      </c>
      <c r="P12" s="8" t="s">
        <v>402</v>
      </c>
      <c r="Q12" s="8" t="s">
        <v>402</v>
      </c>
      <c r="R12" s="8" t="s">
        <v>402</v>
      </c>
      <c r="S12" s="8" t="s">
        <v>48</v>
      </c>
      <c r="T12" s="8" t="s">
        <v>403</v>
      </c>
      <c r="U12" s="8" t="s">
        <v>404</v>
      </c>
      <c r="V12" s="8" t="s">
        <v>402</v>
      </c>
      <c r="W12" s="8" t="s">
        <v>406</v>
      </c>
      <c r="X12" s="8" t="s">
        <v>408</v>
      </c>
      <c r="Y12" s="8" t="s">
        <v>410</v>
      </c>
      <c r="Z12" s="8" t="s">
        <v>411</v>
      </c>
      <c r="AA12" s="8" t="s">
        <v>413</v>
      </c>
      <c r="AB12" s="26" t="n">
        <f aca="false">WORKDAY.INTL(DATE(2026,10,22),12,11)</f>
        <v>46331</v>
      </c>
    </row>
    <row r="13" customFormat="false" ht="15" hidden="false" customHeight="false" outlineLevel="0" collapsed="false">
      <c r="A13" s="8" t="s">
        <v>412</v>
      </c>
      <c r="B13" s="8" t="s">
        <v>28</v>
      </c>
      <c r="C13" s="8" t="n">
        <v>2</v>
      </c>
      <c r="D13" s="8" t="s">
        <v>402</v>
      </c>
      <c r="E13" s="8" t="s">
        <v>402</v>
      </c>
      <c r="F13" s="8" t="s">
        <v>402</v>
      </c>
      <c r="G13" s="8" t="s">
        <v>402</v>
      </c>
      <c r="H13" s="8" t="s">
        <v>402</v>
      </c>
      <c r="I13" s="8" t="s">
        <v>402</v>
      </c>
      <c r="J13" s="8" t="s">
        <v>402</v>
      </c>
      <c r="K13" s="8" t="s">
        <v>402</v>
      </c>
      <c r="L13" s="8" t="s">
        <v>402</v>
      </c>
      <c r="M13" s="8" t="s">
        <v>402</v>
      </c>
      <c r="N13" s="8" t="s">
        <v>402</v>
      </c>
      <c r="O13" s="8" t="s">
        <v>402</v>
      </c>
      <c r="P13" s="8" t="s">
        <v>402</v>
      </c>
      <c r="Q13" s="8" t="s">
        <v>402</v>
      </c>
      <c r="R13" s="8" t="s">
        <v>402</v>
      </c>
      <c r="S13" s="8" t="s">
        <v>48</v>
      </c>
      <c r="T13" s="8" t="s">
        <v>403</v>
      </c>
      <c r="U13" s="8" t="s">
        <v>404</v>
      </c>
      <c r="V13" s="8" t="s">
        <v>406</v>
      </c>
      <c r="W13" s="8" t="s">
        <v>408</v>
      </c>
      <c r="X13" s="8" t="s">
        <v>410</v>
      </c>
      <c r="Y13" s="8" t="s">
        <v>411</v>
      </c>
      <c r="Z13" s="8" t="s">
        <v>413</v>
      </c>
      <c r="AA13" s="8" t="s">
        <v>414</v>
      </c>
      <c r="AB13" s="26" t="n">
        <f aca="false">WORKDAY.INTL(DATE(2026,10,22),11,11)</f>
        <v>46330</v>
      </c>
    </row>
    <row r="14" customFormat="false" ht="15" hidden="false" customHeight="false" outlineLevel="0" collapsed="false">
      <c r="A14" s="8" t="s">
        <v>415</v>
      </c>
      <c r="B14" s="8" t="s">
        <v>72</v>
      </c>
      <c r="C14" s="8" t="n">
        <v>1</v>
      </c>
      <c r="D14" s="8" t="s">
        <v>402</v>
      </c>
      <c r="E14" s="8" t="s">
        <v>402</v>
      </c>
      <c r="F14" s="8" t="s">
        <v>402</v>
      </c>
      <c r="G14" s="8" t="s">
        <v>402</v>
      </c>
      <c r="H14" s="8" t="s">
        <v>402</v>
      </c>
      <c r="I14" s="8" t="s">
        <v>402</v>
      </c>
      <c r="J14" s="8" t="s">
        <v>402</v>
      </c>
      <c r="K14" s="8" t="s">
        <v>402</v>
      </c>
      <c r="L14" s="8" t="s">
        <v>402</v>
      </c>
      <c r="M14" s="8" t="s">
        <v>402</v>
      </c>
      <c r="N14" s="8" t="s">
        <v>402</v>
      </c>
      <c r="O14" s="8" t="s">
        <v>402</v>
      </c>
      <c r="P14" s="8" t="s">
        <v>402</v>
      </c>
      <c r="Q14" s="8" t="s">
        <v>402</v>
      </c>
      <c r="R14" s="8" t="s">
        <v>48</v>
      </c>
      <c r="S14" s="8" t="s">
        <v>403</v>
      </c>
      <c r="T14" s="8" t="s">
        <v>404</v>
      </c>
      <c r="U14" s="8" t="s">
        <v>406</v>
      </c>
      <c r="V14" s="8" t="s">
        <v>402</v>
      </c>
      <c r="W14" s="8" t="s">
        <v>408</v>
      </c>
      <c r="X14" s="8" t="s">
        <v>410</v>
      </c>
      <c r="Y14" s="8" t="s">
        <v>411</v>
      </c>
      <c r="Z14" s="8" t="s">
        <v>413</v>
      </c>
      <c r="AA14" s="8" t="s">
        <v>414</v>
      </c>
      <c r="AB14" s="26" t="n">
        <f aca="false">WORKDAY.INTL(DATE(2026,10,21),12,11)</f>
        <v>46330</v>
      </c>
    </row>
    <row r="15" customFormat="false" ht="15" hidden="false" customHeight="false" outlineLevel="0" collapsed="false">
      <c r="A15" s="8" t="s">
        <v>415</v>
      </c>
      <c r="B15" s="8" t="s">
        <v>25</v>
      </c>
      <c r="C15" s="8" t="n">
        <v>2</v>
      </c>
      <c r="D15" s="8" t="s">
        <v>402</v>
      </c>
      <c r="E15" s="8" t="s">
        <v>402</v>
      </c>
      <c r="F15" s="8" t="s">
        <v>402</v>
      </c>
      <c r="G15" s="8" t="s">
        <v>402</v>
      </c>
      <c r="H15" s="8" t="s">
        <v>402</v>
      </c>
      <c r="I15" s="8" t="s">
        <v>402</v>
      </c>
      <c r="J15" s="8" t="s">
        <v>402</v>
      </c>
      <c r="K15" s="8" t="s">
        <v>402</v>
      </c>
      <c r="L15" s="8" t="s">
        <v>402</v>
      </c>
      <c r="M15" s="8" t="s">
        <v>402</v>
      </c>
      <c r="N15" s="8" t="s">
        <v>402</v>
      </c>
      <c r="O15" s="8" t="s">
        <v>402</v>
      </c>
      <c r="P15" s="8" t="s">
        <v>402</v>
      </c>
      <c r="Q15" s="8" t="s">
        <v>402</v>
      </c>
      <c r="R15" s="8" t="s">
        <v>48</v>
      </c>
      <c r="S15" s="8" t="s">
        <v>403</v>
      </c>
      <c r="T15" s="8" t="s">
        <v>404</v>
      </c>
      <c r="U15" s="8" t="s">
        <v>406</v>
      </c>
      <c r="V15" s="8" t="s">
        <v>402</v>
      </c>
      <c r="W15" s="8" t="s">
        <v>408</v>
      </c>
      <c r="X15" s="8" t="s">
        <v>410</v>
      </c>
      <c r="Y15" s="8" t="s">
        <v>411</v>
      </c>
      <c r="Z15" s="8" t="s">
        <v>413</v>
      </c>
      <c r="AA15" s="8" t="s">
        <v>414</v>
      </c>
      <c r="AB15" s="26" t="n">
        <f aca="false">WORKDAY.INTL(DATE(2026,10,21),12,11)</f>
        <v>46330</v>
      </c>
    </row>
    <row r="16" customFormat="false" ht="15" hidden="false" customHeight="false" outlineLevel="0" collapsed="false">
      <c r="A16" s="8" t="s">
        <v>415</v>
      </c>
      <c r="B16" s="8" t="s">
        <v>28</v>
      </c>
      <c r="C16" s="8" t="n">
        <v>2</v>
      </c>
      <c r="D16" s="8" t="s">
        <v>402</v>
      </c>
      <c r="E16" s="8" t="s">
        <v>402</v>
      </c>
      <c r="F16" s="8" t="s">
        <v>402</v>
      </c>
      <c r="G16" s="8" t="s">
        <v>402</v>
      </c>
      <c r="H16" s="8" t="s">
        <v>402</v>
      </c>
      <c r="I16" s="8" t="s">
        <v>402</v>
      </c>
      <c r="J16" s="8" t="s">
        <v>402</v>
      </c>
      <c r="K16" s="8" t="s">
        <v>402</v>
      </c>
      <c r="L16" s="8" t="s">
        <v>402</v>
      </c>
      <c r="M16" s="8" t="s">
        <v>402</v>
      </c>
      <c r="N16" s="8" t="s">
        <v>402</v>
      </c>
      <c r="O16" s="8" t="s">
        <v>402</v>
      </c>
      <c r="P16" s="8" t="s">
        <v>402</v>
      </c>
      <c r="Q16" s="8" t="s">
        <v>402</v>
      </c>
      <c r="R16" s="8" t="s">
        <v>48</v>
      </c>
      <c r="S16" s="8" t="s">
        <v>403</v>
      </c>
      <c r="T16" s="8" t="s">
        <v>404</v>
      </c>
      <c r="U16" s="8" t="s">
        <v>406</v>
      </c>
      <c r="V16" s="8" t="s">
        <v>408</v>
      </c>
      <c r="W16" s="8" t="s">
        <v>410</v>
      </c>
      <c r="X16" s="8" t="s">
        <v>411</v>
      </c>
      <c r="Y16" s="8" t="s">
        <v>413</v>
      </c>
      <c r="Z16" s="8" t="s">
        <v>414</v>
      </c>
      <c r="AA16" s="8" t="s">
        <v>416</v>
      </c>
      <c r="AB16" s="26" t="n">
        <f aca="false">WORKDAY.INTL(DATE(2026,10,21),11,11)</f>
        <v>46329</v>
      </c>
    </row>
    <row r="17" customFormat="false" ht="15" hidden="false" customHeight="false" outlineLevel="0" collapsed="false">
      <c r="A17" s="8" t="s">
        <v>417</v>
      </c>
      <c r="B17" s="8" t="s">
        <v>28</v>
      </c>
      <c r="C17" s="8" t="n">
        <v>4</v>
      </c>
      <c r="D17" s="8" t="s">
        <v>402</v>
      </c>
      <c r="E17" s="8" t="s">
        <v>402</v>
      </c>
      <c r="F17" s="8" t="s">
        <v>402</v>
      </c>
      <c r="G17" s="8" t="s">
        <v>402</v>
      </c>
      <c r="H17" s="8" t="s">
        <v>402</v>
      </c>
      <c r="I17" s="8" t="s">
        <v>402</v>
      </c>
      <c r="J17" s="8" t="s">
        <v>402</v>
      </c>
      <c r="K17" s="8" t="s">
        <v>402</v>
      </c>
      <c r="L17" s="8" t="s">
        <v>402</v>
      </c>
      <c r="M17" s="8" t="s">
        <v>402</v>
      </c>
      <c r="N17" s="8" t="s">
        <v>402</v>
      </c>
      <c r="O17" s="8" t="s">
        <v>402</v>
      </c>
      <c r="P17" s="8" t="s">
        <v>402</v>
      </c>
      <c r="Q17" s="8" t="s">
        <v>48</v>
      </c>
      <c r="R17" s="8" t="s">
        <v>403</v>
      </c>
      <c r="S17" s="8" t="s">
        <v>404</v>
      </c>
      <c r="T17" s="8" t="s">
        <v>406</v>
      </c>
      <c r="U17" s="8" t="s">
        <v>408</v>
      </c>
      <c r="V17" s="8" t="s">
        <v>410</v>
      </c>
      <c r="W17" s="8" t="s">
        <v>411</v>
      </c>
      <c r="X17" s="8" t="s">
        <v>413</v>
      </c>
      <c r="Y17" s="8" t="s">
        <v>414</v>
      </c>
      <c r="Z17" s="8" t="s">
        <v>416</v>
      </c>
      <c r="AA17" s="8" t="s">
        <v>418</v>
      </c>
      <c r="AB17" s="26" t="n">
        <f aca="false">WORKDAY.INTL(DATE(2026,10,20),11,11)</f>
        <v>46328</v>
      </c>
    </row>
    <row r="18" customFormat="false" ht="15" hidden="false" customHeight="false" outlineLevel="0" collapsed="false">
      <c r="A18" s="8" t="s">
        <v>417</v>
      </c>
      <c r="B18" s="8" t="s">
        <v>25</v>
      </c>
      <c r="C18" s="8" t="n">
        <v>2</v>
      </c>
      <c r="D18" s="8" t="s">
        <v>402</v>
      </c>
      <c r="E18" s="8" t="s">
        <v>402</v>
      </c>
      <c r="F18" s="8" t="s">
        <v>402</v>
      </c>
      <c r="G18" s="8" t="s">
        <v>402</v>
      </c>
      <c r="H18" s="8" t="s">
        <v>402</v>
      </c>
      <c r="I18" s="8" t="s">
        <v>402</v>
      </c>
      <c r="J18" s="8" t="s">
        <v>402</v>
      </c>
      <c r="K18" s="8" t="s">
        <v>402</v>
      </c>
      <c r="L18" s="8" t="s">
        <v>402</v>
      </c>
      <c r="M18" s="8" t="s">
        <v>402</v>
      </c>
      <c r="N18" s="8" t="s">
        <v>402</v>
      </c>
      <c r="O18" s="8" t="s">
        <v>402</v>
      </c>
      <c r="P18" s="8" t="s">
        <v>402</v>
      </c>
      <c r="Q18" s="8" t="s">
        <v>48</v>
      </c>
      <c r="R18" s="8" t="s">
        <v>403</v>
      </c>
      <c r="S18" s="8" t="s">
        <v>404</v>
      </c>
      <c r="T18" s="8" t="s">
        <v>406</v>
      </c>
      <c r="U18" s="8" t="s">
        <v>408</v>
      </c>
      <c r="V18" s="8" t="s">
        <v>402</v>
      </c>
      <c r="W18" s="8" t="s">
        <v>410</v>
      </c>
      <c r="X18" s="8" t="s">
        <v>411</v>
      </c>
      <c r="Y18" s="8" t="s">
        <v>413</v>
      </c>
      <c r="Z18" s="8" t="s">
        <v>414</v>
      </c>
      <c r="AA18" s="8" t="s">
        <v>416</v>
      </c>
      <c r="AB18" s="26" t="n">
        <f aca="false">WORKDAY.INTL(DATE(2026,10,20),12,11)</f>
        <v>46329</v>
      </c>
    </row>
    <row r="19" customFormat="false" ht="15" hidden="false" customHeight="false" outlineLevel="0" collapsed="false">
      <c r="A19" s="8" t="s">
        <v>419</v>
      </c>
      <c r="B19" s="8" t="s">
        <v>28</v>
      </c>
      <c r="C19" s="8" t="n">
        <v>2</v>
      </c>
      <c r="D19" s="8" t="s">
        <v>402</v>
      </c>
      <c r="E19" s="8" t="s">
        <v>402</v>
      </c>
      <c r="F19" s="8" t="s">
        <v>402</v>
      </c>
      <c r="G19" s="8" t="s">
        <v>402</v>
      </c>
      <c r="H19" s="8" t="s">
        <v>402</v>
      </c>
      <c r="I19" s="8" t="s">
        <v>402</v>
      </c>
      <c r="J19" s="8" t="s">
        <v>402</v>
      </c>
      <c r="K19" s="8" t="s">
        <v>402</v>
      </c>
      <c r="L19" s="8" t="s">
        <v>402</v>
      </c>
      <c r="M19" s="8" t="s">
        <v>402</v>
      </c>
      <c r="N19" s="8" t="s">
        <v>402</v>
      </c>
      <c r="O19" s="8" t="s">
        <v>402</v>
      </c>
      <c r="P19" s="8" t="s">
        <v>48</v>
      </c>
      <c r="Q19" s="8" t="s">
        <v>403</v>
      </c>
      <c r="R19" s="8" t="s">
        <v>404</v>
      </c>
      <c r="S19" s="8" t="s">
        <v>406</v>
      </c>
      <c r="T19" s="8" t="s">
        <v>408</v>
      </c>
      <c r="U19" s="8" t="s">
        <v>410</v>
      </c>
      <c r="V19" s="8" t="s">
        <v>411</v>
      </c>
      <c r="W19" s="8" t="s">
        <v>413</v>
      </c>
      <c r="X19" s="8" t="s">
        <v>414</v>
      </c>
      <c r="Y19" s="8" t="s">
        <v>416</v>
      </c>
      <c r="Z19" s="8" t="s">
        <v>418</v>
      </c>
      <c r="AA19" s="8" t="s">
        <v>420</v>
      </c>
      <c r="AB19" s="26" t="n">
        <f aca="false">WORKDAY.INTL(DATE(2026,10,19),11,11)</f>
        <v>46326</v>
      </c>
    </row>
    <row r="20" customFormat="false" ht="15" hidden="false" customHeight="false" outlineLevel="0" collapsed="false">
      <c r="A20" s="8" t="s">
        <v>419</v>
      </c>
      <c r="B20" s="8" t="s">
        <v>25</v>
      </c>
      <c r="C20" s="8" t="n">
        <v>1</v>
      </c>
      <c r="D20" s="8" t="s">
        <v>402</v>
      </c>
      <c r="E20" s="8" t="s">
        <v>402</v>
      </c>
      <c r="F20" s="8" t="s">
        <v>402</v>
      </c>
      <c r="G20" s="8" t="s">
        <v>402</v>
      </c>
      <c r="H20" s="8" t="s">
        <v>402</v>
      </c>
      <c r="I20" s="8" t="s">
        <v>402</v>
      </c>
      <c r="J20" s="8" t="s">
        <v>402</v>
      </c>
      <c r="K20" s="8" t="s">
        <v>402</v>
      </c>
      <c r="L20" s="8" t="s">
        <v>402</v>
      </c>
      <c r="M20" s="8" t="s">
        <v>402</v>
      </c>
      <c r="N20" s="8" t="s">
        <v>402</v>
      </c>
      <c r="O20" s="8" t="s">
        <v>402</v>
      </c>
      <c r="P20" s="8" t="s">
        <v>48</v>
      </c>
      <c r="Q20" s="8" t="s">
        <v>403</v>
      </c>
      <c r="R20" s="8" t="s">
        <v>404</v>
      </c>
      <c r="S20" s="8" t="s">
        <v>406</v>
      </c>
      <c r="T20" s="8" t="s">
        <v>408</v>
      </c>
      <c r="U20" s="8" t="s">
        <v>410</v>
      </c>
      <c r="V20" s="8" t="s">
        <v>402</v>
      </c>
      <c r="W20" s="8" t="s">
        <v>411</v>
      </c>
      <c r="X20" s="8" t="s">
        <v>413</v>
      </c>
      <c r="Y20" s="8" t="s">
        <v>414</v>
      </c>
      <c r="Z20" s="8" t="s">
        <v>416</v>
      </c>
      <c r="AA20" s="8" t="s">
        <v>418</v>
      </c>
      <c r="AB20" s="26" t="n">
        <f aca="false">WORKDAY.INTL(DATE(2026,10,19),12,11)</f>
        <v>46328</v>
      </c>
    </row>
    <row r="21" customFormat="false" ht="15" hidden="false" customHeight="false" outlineLevel="0" collapsed="false">
      <c r="A21" s="8" t="s">
        <v>421</v>
      </c>
      <c r="B21" s="8" t="s">
        <v>28</v>
      </c>
      <c r="C21" s="8" t="n">
        <v>1</v>
      </c>
      <c r="D21" s="8" t="s">
        <v>402</v>
      </c>
      <c r="E21" s="8" t="s">
        <v>402</v>
      </c>
      <c r="F21" s="8" t="s">
        <v>402</v>
      </c>
      <c r="G21" s="8" t="s">
        <v>402</v>
      </c>
      <c r="H21" s="8" t="s">
        <v>402</v>
      </c>
      <c r="I21" s="8" t="s">
        <v>402</v>
      </c>
      <c r="J21" s="8" t="s">
        <v>402</v>
      </c>
      <c r="K21" s="8" t="s">
        <v>402</v>
      </c>
      <c r="L21" s="8" t="s">
        <v>402</v>
      </c>
      <c r="M21" s="8" t="s">
        <v>402</v>
      </c>
      <c r="N21" s="8" t="s">
        <v>48</v>
      </c>
      <c r="O21" s="8" t="s">
        <v>403</v>
      </c>
      <c r="P21" s="8" t="s">
        <v>404</v>
      </c>
      <c r="Q21" s="8" t="s">
        <v>406</v>
      </c>
      <c r="R21" s="8" t="s">
        <v>408</v>
      </c>
      <c r="S21" s="8" t="s">
        <v>410</v>
      </c>
      <c r="T21" s="8" t="s">
        <v>411</v>
      </c>
      <c r="U21" s="8" t="s">
        <v>413</v>
      </c>
      <c r="V21" s="8" t="s">
        <v>414</v>
      </c>
      <c r="W21" s="8" t="s">
        <v>416</v>
      </c>
      <c r="X21" s="8" t="s">
        <v>418</v>
      </c>
      <c r="Y21" s="8" t="s">
        <v>420</v>
      </c>
      <c r="Z21" s="8" t="s">
        <v>422</v>
      </c>
      <c r="AA21" s="8" t="s">
        <v>423</v>
      </c>
      <c r="AB21" s="26" t="n">
        <f aca="false">WORKDAY.INTL(DATE(2026,10,16),11,11)</f>
        <v>46324</v>
      </c>
    </row>
    <row r="22" customFormat="false" ht="15" hidden="false" customHeight="false" outlineLevel="0" collapsed="false">
      <c r="A22" s="8" t="s">
        <v>424</v>
      </c>
      <c r="B22" s="8" t="s">
        <v>28</v>
      </c>
      <c r="C22" s="8" t="n">
        <v>4</v>
      </c>
      <c r="D22" s="8" t="s">
        <v>402</v>
      </c>
      <c r="E22" s="8" t="s">
        <v>402</v>
      </c>
      <c r="F22" s="8" t="s">
        <v>402</v>
      </c>
      <c r="G22" s="8" t="s">
        <v>402</v>
      </c>
      <c r="H22" s="8" t="s">
        <v>402</v>
      </c>
      <c r="I22" s="8" t="s">
        <v>402</v>
      </c>
      <c r="J22" s="8" t="s">
        <v>402</v>
      </c>
      <c r="K22" s="8" t="s">
        <v>402</v>
      </c>
      <c r="L22" s="8" t="s">
        <v>402</v>
      </c>
      <c r="M22" s="8" t="s">
        <v>48</v>
      </c>
      <c r="N22" s="8" t="s">
        <v>403</v>
      </c>
      <c r="O22" s="8" t="s">
        <v>404</v>
      </c>
      <c r="P22" s="8" t="s">
        <v>406</v>
      </c>
      <c r="Q22" s="8" t="s">
        <v>408</v>
      </c>
      <c r="R22" s="8" t="s">
        <v>410</v>
      </c>
      <c r="S22" s="8" t="s">
        <v>411</v>
      </c>
      <c r="T22" s="8" t="s">
        <v>413</v>
      </c>
      <c r="U22" s="8" t="s">
        <v>414</v>
      </c>
      <c r="V22" s="8" t="s">
        <v>416</v>
      </c>
      <c r="W22" s="8" t="s">
        <v>418</v>
      </c>
      <c r="X22" s="8" t="s">
        <v>420</v>
      </c>
      <c r="Y22" s="8" t="s">
        <v>422</v>
      </c>
      <c r="Z22" s="8" t="s">
        <v>423</v>
      </c>
      <c r="AA22" s="8" t="s">
        <v>423</v>
      </c>
      <c r="AB22" s="26" t="n">
        <f aca="false">WORKDAY.INTL(DATE(2026,10,15),11,11)</f>
        <v>46323</v>
      </c>
    </row>
    <row r="23" customFormat="false" ht="15" hidden="false" customHeight="false" outlineLevel="0" collapsed="false">
      <c r="A23" s="8" t="s">
        <v>425</v>
      </c>
      <c r="B23" s="8" t="s">
        <v>28</v>
      </c>
      <c r="C23" s="8" t="n">
        <v>1</v>
      </c>
      <c r="D23" s="8" t="s">
        <v>402</v>
      </c>
      <c r="E23" s="8" t="s">
        <v>402</v>
      </c>
      <c r="F23" s="8" t="s">
        <v>402</v>
      </c>
      <c r="G23" s="8" t="s">
        <v>402</v>
      </c>
      <c r="H23" s="8" t="s">
        <v>402</v>
      </c>
      <c r="I23" s="8" t="s">
        <v>402</v>
      </c>
      <c r="J23" s="8" t="s">
        <v>402</v>
      </c>
      <c r="K23" s="8" t="s">
        <v>402</v>
      </c>
      <c r="L23" s="8" t="s">
        <v>48</v>
      </c>
      <c r="M23" s="8" t="s">
        <v>403</v>
      </c>
      <c r="N23" s="8" t="s">
        <v>404</v>
      </c>
      <c r="O23" s="8" t="s">
        <v>406</v>
      </c>
      <c r="P23" s="8" t="s">
        <v>408</v>
      </c>
      <c r="Q23" s="8" t="s">
        <v>410</v>
      </c>
      <c r="R23" s="8" t="s">
        <v>411</v>
      </c>
      <c r="S23" s="8" t="s">
        <v>413</v>
      </c>
      <c r="T23" s="8" t="s">
        <v>414</v>
      </c>
      <c r="U23" s="8" t="s">
        <v>416</v>
      </c>
      <c r="V23" s="8" t="s">
        <v>418</v>
      </c>
      <c r="W23" s="8" t="s">
        <v>420</v>
      </c>
      <c r="X23" s="8" t="s">
        <v>422</v>
      </c>
      <c r="Y23" s="8" t="s">
        <v>423</v>
      </c>
      <c r="Z23" s="8" t="s">
        <v>423</v>
      </c>
      <c r="AA23" s="8" t="s">
        <v>423</v>
      </c>
      <c r="AB23" s="26" t="n">
        <f aca="false">WORKDAY.INTL(DATE(2026,10,14),11,11)</f>
        <v>46322</v>
      </c>
    </row>
    <row r="24" customFormat="false" ht="15" hidden="false" customHeight="false" outlineLevel="0" collapsed="false">
      <c r="A24" s="8" t="s">
        <v>426</v>
      </c>
      <c r="B24" s="8" t="s">
        <v>28</v>
      </c>
      <c r="C24" s="8" t="n">
        <v>2</v>
      </c>
      <c r="D24" s="8" t="s">
        <v>402</v>
      </c>
      <c r="E24" s="8" t="s">
        <v>402</v>
      </c>
      <c r="F24" s="8" t="s">
        <v>402</v>
      </c>
      <c r="G24" s="8" t="s">
        <v>402</v>
      </c>
      <c r="H24" s="8" t="s">
        <v>402</v>
      </c>
      <c r="I24" s="8" t="s">
        <v>402</v>
      </c>
      <c r="J24" s="8" t="s">
        <v>402</v>
      </c>
      <c r="K24" s="8" t="s">
        <v>48</v>
      </c>
      <c r="L24" s="8" t="s">
        <v>403</v>
      </c>
      <c r="M24" s="8" t="s">
        <v>404</v>
      </c>
      <c r="N24" s="8" t="s">
        <v>406</v>
      </c>
      <c r="O24" s="8" t="s">
        <v>408</v>
      </c>
      <c r="P24" s="8" t="s">
        <v>410</v>
      </c>
      <c r="Q24" s="8" t="s">
        <v>411</v>
      </c>
      <c r="R24" s="8" t="s">
        <v>413</v>
      </c>
      <c r="S24" s="8" t="s">
        <v>414</v>
      </c>
      <c r="T24" s="8" t="s">
        <v>416</v>
      </c>
      <c r="U24" s="8" t="s">
        <v>418</v>
      </c>
      <c r="V24" s="8" t="s">
        <v>420</v>
      </c>
      <c r="W24" s="8" t="s">
        <v>422</v>
      </c>
      <c r="X24" s="8" t="s">
        <v>423</v>
      </c>
      <c r="Y24" s="8" t="s">
        <v>423</v>
      </c>
      <c r="Z24" s="8" t="s">
        <v>423</v>
      </c>
      <c r="AA24" s="8" t="s">
        <v>423</v>
      </c>
      <c r="AB24" s="26" t="n">
        <f aca="false">WORKDAY.INTL(DATE(2026,10,13),11,11)</f>
        <v>46321</v>
      </c>
    </row>
    <row r="25" customFormat="false" ht="15" hidden="false" customHeight="false" outlineLevel="0" collapsed="false">
      <c r="A25" s="8" t="s">
        <v>426</v>
      </c>
      <c r="B25" s="8" t="s">
        <v>72</v>
      </c>
      <c r="C25" s="8" t="n">
        <v>4</v>
      </c>
      <c r="D25" s="8" t="s">
        <v>402</v>
      </c>
      <c r="E25" s="8" t="s">
        <v>402</v>
      </c>
      <c r="F25" s="8" t="s">
        <v>402</v>
      </c>
      <c r="G25" s="8" t="s">
        <v>402</v>
      </c>
      <c r="H25" s="8" t="s">
        <v>402</v>
      </c>
      <c r="I25" s="8" t="s">
        <v>402</v>
      </c>
      <c r="J25" s="8" t="s">
        <v>402</v>
      </c>
      <c r="K25" s="8" t="s">
        <v>48</v>
      </c>
      <c r="L25" s="8" t="s">
        <v>403</v>
      </c>
      <c r="M25" s="8" t="s">
        <v>404</v>
      </c>
      <c r="N25" s="8" t="s">
        <v>406</v>
      </c>
      <c r="O25" s="8" t="s">
        <v>408</v>
      </c>
      <c r="P25" s="8" t="s">
        <v>410</v>
      </c>
      <c r="Q25" s="8" t="s">
        <v>411</v>
      </c>
      <c r="R25" s="8" t="s">
        <v>413</v>
      </c>
      <c r="S25" s="8" t="s">
        <v>414</v>
      </c>
      <c r="T25" s="8" t="s">
        <v>416</v>
      </c>
      <c r="U25" s="8" t="s">
        <v>418</v>
      </c>
      <c r="V25" s="8" t="s">
        <v>402</v>
      </c>
      <c r="W25" s="8" t="s">
        <v>420</v>
      </c>
      <c r="X25" s="8" t="s">
        <v>422</v>
      </c>
      <c r="Y25" s="8" t="s">
        <v>423</v>
      </c>
      <c r="Z25" s="8" t="s">
        <v>423</v>
      </c>
      <c r="AA25" s="8" t="s">
        <v>423</v>
      </c>
      <c r="AB25" s="26" t="n">
        <f aca="false">WORKDAY.INTL(DATE(2026,10,13),12,11)</f>
        <v>46322</v>
      </c>
    </row>
    <row r="26" customFormat="false" ht="15" hidden="false" customHeight="false" outlineLevel="0" collapsed="false">
      <c r="A26" s="8" t="s">
        <v>426</v>
      </c>
      <c r="B26" s="8" t="s">
        <v>25</v>
      </c>
      <c r="C26" s="8" t="n">
        <v>1</v>
      </c>
      <c r="D26" s="8" t="s">
        <v>402</v>
      </c>
      <c r="E26" s="8" t="s">
        <v>402</v>
      </c>
      <c r="F26" s="8" t="s">
        <v>402</v>
      </c>
      <c r="G26" s="8" t="s">
        <v>402</v>
      </c>
      <c r="H26" s="8" t="s">
        <v>402</v>
      </c>
      <c r="I26" s="8" t="s">
        <v>402</v>
      </c>
      <c r="J26" s="8" t="s">
        <v>402</v>
      </c>
      <c r="K26" s="8" t="s">
        <v>48</v>
      </c>
      <c r="L26" s="8" t="s">
        <v>403</v>
      </c>
      <c r="M26" s="8" t="s">
        <v>404</v>
      </c>
      <c r="N26" s="8" t="s">
        <v>406</v>
      </c>
      <c r="O26" s="8" t="s">
        <v>408</v>
      </c>
      <c r="P26" s="8" t="s">
        <v>410</v>
      </c>
      <c r="Q26" s="8" t="s">
        <v>411</v>
      </c>
      <c r="R26" s="8" t="s">
        <v>413</v>
      </c>
      <c r="S26" s="8" t="s">
        <v>414</v>
      </c>
      <c r="T26" s="8" t="s">
        <v>416</v>
      </c>
      <c r="U26" s="8" t="s">
        <v>418</v>
      </c>
      <c r="V26" s="8" t="s">
        <v>402</v>
      </c>
      <c r="W26" s="8" t="s">
        <v>420</v>
      </c>
      <c r="X26" s="8" t="s">
        <v>422</v>
      </c>
      <c r="Y26" s="8" t="s">
        <v>423</v>
      </c>
      <c r="Z26" s="8" t="s">
        <v>423</v>
      </c>
      <c r="AA26" s="8" t="s">
        <v>423</v>
      </c>
      <c r="AB26" s="26" t="n">
        <f aca="false">WORKDAY.INTL(DATE(2026,10,13),12,11)</f>
        <v>46322</v>
      </c>
    </row>
    <row r="27" customFormat="false" ht="15" hidden="false" customHeight="false" outlineLevel="0" collapsed="false">
      <c r="A27" s="8" t="s">
        <v>427</v>
      </c>
      <c r="B27" s="8" t="s">
        <v>28</v>
      </c>
      <c r="C27" s="8" t="n">
        <v>2</v>
      </c>
      <c r="D27" s="8" t="s">
        <v>402</v>
      </c>
      <c r="E27" s="8" t="s">
        <v>402</v>
      </c>
      <c r="F27" s="8" t="s">
        <v>402</v>
      </c>
      <c r="G27" s="8" t="s">
        <v>402</v>
      </c>
      <c r="H27" s="8" t="s">
        <v>402</v>
      </c>
      <c r="I27" s="8" t="s">
        <v>402</v>
      </c>
      <c r="J27" s="8" t="s">
        <v>48</v>
      </c>
      <c r="K27" s="8" t="s">
        <v>403</v>
      </c>
      <c r="L27" s="8" t="s">
        <v>404</v>
      </c>
      <c r="M27" s="8" t="s">
        <v>406</v>
      </c>
      <c r="N27" s="8" t="s">
        <v>408</v>
      </c>
      <c r="O27" s="8" t="s">
        <v>410</v>
      </c>
      <c r="P27" s="8" t="s">
        <v>411</v>
      </c>
      <c r="Q27" s="8" t="s">
        <v>413</v>
      </c>
      <c r="R27" s="8" t="s">
        <v>414</v>
      </c>
      <c r="S27" s="8" t="s">
        <v>416</v>
      </c>
      <c r="T27" s="8" t="s">
        <v>418</v>
      </c>
      <c r="U27" s="8" t="s">
        <v>420</v>
      </c>
      <c r="V27" s="8" t="s">
        <v>422</v>
      </c>
      <c r="W27" s="8" t="s">
        <v>423</v>
      </c>
      <c r="X27" s="8" t="s">
        <v>423</v>
      </c>
      <c r="Y27" s="8" t="s">
        <v>423</v>
      </c>
      <c r="Z27" s="8" t="s">
        <v>423</v>
      </c>
      <c r="AA27" s="8" t="s">
        <v>423</v>
      </c>
      <c r="AB27" s="26" t="n">
        <f aca="false">WORKDAY.INTL(DATE(2026,10,12),11,11)</f>
        <v>46319</v>
      </c>
    </row>
    <row r="28" customFormat="false" ht="15" hidden="false" customHeight="false" outlineLevel="0" collapsed="false">
      <c r="A28" s="8" t="s">
        <v>427</v>
      </c>
      <c r="B28" s="8" t="s">
        <v>72</v>
      </c>
      <c r="C28" s="8" t="n">
        <v>1</v>
      </c>
      <c r="D28" s="8" t="s">
        <v>402</v>
      </c>
      <c r="E28" s="8" t="s">
        <v>402</v>
      </c>
      <c r="F28" s="8" t="s">
        <v>402</v>
      </c>
      <c r="G28" s="8" t="s">
        <v>402</v>
      </c>
      <c r="H28" s="8" t="s">
        <v>402</v>
      </c>
      <c r="I28" s="8" t="s">
        <v>402</v>
      </c>
      <c r="J28" s="8" t="s">
        <v>48</v>
      </c>
      <c r="K28" s="8" t="s">
        <v>403</v>
      </c>
      <c r="L28" s="8" t="s">
        <v>404</v>
      </c>
      <c r="M28" s="8" t="s">
        <v>406</v>
      </c>
      <c r="N28" s="8" t="s">
        <v>408</v>
      </c>
      <c r="O28" s="8" t="s">
        <v>410</v>
      </c>
      <c r="P28" s="8" t="s">
        <v>411</v>
      </c>
      <c r="Q28" s="8" t="s">
        <v>413</v>
      </c>
      <c r="R28" s="8" t="s">
        <v>414</v>
      </c>
      <c r="S28" s="8" t="s">
        <v>416</v>
      </c>
      <c r="T28" s="8" t="s">
        <v>418</v>
      </c>
      <c r="U28" s="8" t="s">
        <v>420</v>
      </c>
      <c r="V28" s="8" t="s">
        <v>402</v>
      </c>
      <c r="W28" s="8" t="s">
        <v>422</v>
      </c>
      <c r="X28" s="8" t="s">
        <v>423</v>
      </c>
      <c r="Y28" s="8" t="s">
        <v>423</v>
      </c>
      <c r="Z28" s="8" t="s">
        <v>423</v>
      </c>
      <c r="AA28" s="8" t="s">
        <v>423</v>
      </c>
      <c r="AB28" s="26" t="n">
        <f aca="false">WORKDAY.INTL(DATE(2026,10,12),12,11)</f>
        <v>46321</v>
      </c>
    </row>
    <row r="29" customFormat="false" ht="15" hidden="false" customHeight="false" outlineLevel="0" collapsed="false">
      <c r="A29" s="8" t="s">
        <v>428</v>
      </c>
      <c r="B29" s="8" t="s">
        <v>28</v>
      </c>
      <c r="C29" s="8" t="n">
        <v>6</v>
      </c>
      <c r="D29" s="8" t="s">
        <v>402</v>
      </c>
      <c r="E29" s="8" t="s">
        <v>402</v>
      </c>
      <c r="F29" s="8" t="s">
        <v>402</v>
      </c>
      <c r="G29" s="8" t="s">
        <v>402</v>
      </c>
      <c r="H29" s="8" t="s">
        <v>48</v>
      </c>
      <c r="I29" s="8" t="s">
        <v>403</v>
      </c>
      <c r="J29" s="8" t="s">
        <v>404</v>
      </c>
      <c r="K29" s="8" t="s">
        <v>406</v>
      </c>
      <c r="L29" s="8" t="s">
        <v>408</v>
      </c>
      <c r="M29" s="8" t="s">
        <v>410</v>
      </c>
      <c r="N29" s="8" t="s">
        <v>411</v>
      </c>
      <c r="O29" s="8" t="s">
        <v>413</v>
      </c>
      <c r="P29" s="8" t="s">
        <v>414</v>
      </c>
      <c r="Q29" s="8" t="s">
        <v>416</v>
      </c>
      <c r="R29" s="8" t="s">
        <v>418</v>
      </c>
      <c r="S29" s="8" t="s">
        <v>420</v>
      </c>
      <c r="T29" s="8" t="s">
        <v>422</v>
      </c>
      <c r="U29" s="8" t="s">
        <v>423</v>
      </c>
      <c r="V29" s="8" t="s">
        <v>423</v>
      </c>
      <c r="W29" s="8" t="s">
        <v>423</v>
      </c>
      <c r="X29" s="8" t="s">
        <v>423</v>
      </c>
      <c r="Y29" s="8" t="s">
        <v>423</v>
      </c>
      <c r="Z29" s="8" t="s">
        <v>423</v>
      </c>
      <c r="AA29" s="8" t="s">
        <v>423</v>
      </c>
      <c r="AB29" s="26" t="n">
        <f aca="false">WORKDAY.INTL(DATE(2026,10,9),12,11)</f>
        <v>46318</v>
      </c>
    </row>
    <row r="30" customFormat="false" ht="15" hidden="false" customHeight="false" outlineLevel="0" collapsed="false">
      <c r="A30" s="8" t="s">
        <v>428</v>
      </c>
      <c r="B30" s="8" t="s">
        <v>72</v>
      </c>
      <c r="C30" s="8" t="n">
        <v>2</v>
      </c>
      <c r="D30" s="8" t="s">
        <v>402</v>
      </c>
      <c r="E30" s="8" t="s">
        <v>402</v>
      </c>
      <c r="F30" s="8" t="s">
        <v>402</v>
      </c>
      <c r="G30" s="8" t="s">
        <v>402</v>
      </c>
      <c r="H30" s="8" t="s">
        <v>48</v>
      </c>
      <c r="I30" s="8" t="s">
        <v>403</v>
      </c>
      <c r="J30" s="8" t="s">
        <v>404</v>
      </c>
      <c r="K30" s="8" t="s">
        <v>406</v>
      </c>
      <c r="L30" s="8" t="s">
        <v>408</v>
      </c>
      <c r="M30" s="8" t="s">
        <v>410</v>
      </c>
      <c r="N30" s="8" t="s">
        <v>411</v>
      </c>
      <c r="O30" s="8" t="s">
        <v>413</v>
      </c>
      <c r="P30" s="8" t="s">
        <v>414</v>
      </c>
      <c r="Q30" s="8" t="s">
        <v>416</v>
      </c>
      <c r="R30" s="8" t="s">
        <v>418</v>
      </c>
      <c r="S30" s="8" t="s">
        <v>420</v>
      </c>
      <c r="T30" s="8" t="s">
        <v>422</v>
      </c>
      <c r="U30" s="8" t="s">
        <v>423</v>
      </c>
      <c r="V30" s="8" t="s">
        <v>402</v>
      </c>
      <c r="W30" s="8" t="s">
        <v>423</v>
      </c>
      <c r="X30" s="8" t="s">
        <v>423</v>
      </c>
      <c r="Y30" s="8" t="s">
        <v>423</v>
      </c>
      <c r="Z30" s="8" t="s">
        <v>423</v>
      </c>
      <c r="AA30" s="8" t="s">
        <v>423</v>
      </c>
      <c r="AB30" s="26" t="n">
        <f aca="false">WORKDAY.INTL(DATE(2026,10,9),12,11)</f>
        <v>46318</v>
      </c>
    </row>
    <row r="31" customFormat="false" ht="15" hidden="false" customHeight="false" outlineLevel="0" collapsed="false">
      <c r="A31" s="8" t="s">
        <v>429</v>
      </c>
      <c r="B31" s="8" t="s">
        <v>72</v>
      </c>
      <c r="C31" s="8" t="n">
        <v>1</v>
      </c>
      <c r="D31" s="8" t="s">
        <v>402</v>
      </c>
      <c r="E31" s="8" t="s">
        <v>402</v>
      </c>
      <c r="F31" s="8" t="s">
        <v>402</v>
      </c>
      <c r="G31" s="8" t="s">
        <v>48</v>
      </c>
      <c r="H31" s="8" t="s">
        <v>403</v>
      </c>
      <c r="I31" s="8" t="s">
        <v>404</v>
      </c>
      <c r="J31" s="8" t="s">
        <v>406</v>
      </c>
      <c r="K31" s="8" t="s">
        <v>408</v>
      </c>
      <c r="L31" s="8" t="s">
        <v>410</v>
      </c>
      <c r="M31" s="8" t="s">
        <v>411</v>
      </c>
      <c r="N31" s="8" t="s">
        <v>413</v>
      </c>
      <c r="O31" s="8" t="s">
        <v>414</v>
      </c>
      <c r="P31" s="8" t="s">
        <v>416</v>
      </c>
      <c r="Q31" s="8" t="s">
        <v>418</v>
      </c>
      <c r="R31" s="8" t="s">
        <v>420</v>
      </c>
      <c r="S31" s="8" t="s">
        <v>422</v>
      </c>
      <c r="T31" s="8" t="s">
        <v>423</v>
      </c>
      <c r="U31" s="8" t="s">
        <v>423</v>
      </c>
      <c r="V31" s="8" t="s">
        <v>402</v>
      </c>
      <c r="W31" s="8" t="s">
        <v>423</v>
      </c>
      <c r="X31" s="8" t="s">
        <v>423</v>
      </c>
      <c r="Y31" s="8" t="s">
        <v>423</v>
      </c>
      <c r="Z31" s="8" t="s">
        <v>423</v>
      </c>
      <c r="AA31" s="8" t="s">
        <v>423</v>
      </c>
      <c r="AB31" s="26" t="n">
        <f aca="false">WORKDAY.INTL(DATE(2026,10,8),12,11)</f>
        <v>46317</v>
      </c>
    </row>
    <row r="32" customFormat="false" ht="15" hidden="false" customHeight="false" outlineLevel="0" collapsed="false">
      <c r="A32" s="8" t="s">
        <v>429</v>
      </c>
      <c r="B32" s="8" t="s">
        <v>25</v>
      </c>
      <c r="C32" s="8" t="n">
        <v>3</v>
      </c>
      <c r="D32" s="8" t="s">
        <v>402</v>
      </c>
      <c r="E32" s="8" t="s">
        <v>402</v>
      </c>
      <c r="F32" s="8" t="s">
        <v>402</v>
      </c>
      <c r="G32" s="8" t="s">
        <v>48</v>
      </c>
      <c r="H32" s="8" t="s">
        <v>403</v>
      </c>
      <c r="I32" s="8" t="s">
        <v>404</v>
      </c>
      <c r="J32" s="8" t="s">
        <v>406</v>
      </c>
      <c r="K32" s="8" t="s">
        <v>408</v>
      </c>
      <c r="L32" s="8" t="s">
        <v>410</v>
      </c>
      <c r="M32" s="8" t="s">
        <v>411</v>
      </c>
      <c r="N32" s="8" t="s">
        <v>413</v>
      </c>
      <c r="O32" s="8" t="s">
        <v>414</v>
      </c>
      <c r="P32" s="8" t="s">
        <v>416</v>
      </c>
      <c r="Q32" s="8" t="s">
        <v>418</v>
      </c>
      <c r="R32" s="8" t="s">
        <v>420</v>
      </c>
      <c r="S32" s="8" t="s">
        <v>422</v>
      </c>
      <c r="T32" s="8" t="s">
        <v>423</v>
      </c>
      <c r="U32" s="8" t="s">
        <v>423</v>
      </c>
      <c r="V32" s="8" t="s">
        <v>402</v>
      </c>
      <c r="W32" s="8" t="s">
        <v>423</v>
      </c>
      <c r="X32" s="8" t="s">
        <v>423</v>
      </c>
      <c r="Y32" s="8" t="s">
        <v>423</v>
      </c>
      <c r="Z32" s="8" t="s">
        <v>423</v>
      </c>
      <c r="AA32" s="8" t="s">
        <v>423</v>
      </c>
      <c r="AB32" s="26" t="n">
        <f aca="false">WORKDAY.INTL(DATE(2026,10,8),12,11)</f>
        <v>46317</v>
      </c>
    </row>
    <row r="33" customFormat="false" ht="15" hidden="false" customHeight="false" outlineLevel="0" collapsed="false">
      <c r="A33" s="8" t="s">
        <v>430</v>
      </c>
      <c r="B33" s="8" t="s">
        <v>28</v>
      </c>
      <c r="C33" s="8" t="n">
        <v>6</v>
      </c>
      <c r="D33" s="8" t="s">
        <v>402</v>
      </c>
      <c r="E33" s="8" t="s">
        <v>402</v>
      </c>
      <c r="F33" s="8" t="s">
        <v>48</v>
      </c>
      <c r="G33" s="8" t="s">
        <v>403</v>
      </c>
      <c r="H33" s="8" t="s">
        <v>404</v>
      </c>
      <c r="I33" s="8" t="s">
        <v>406</v>
      </c>
      <c r="J33" s="8" t="s">
        <v>408</v>
      </c>
      <c r="K33" s="8" t="s">
        <v>410</v>
      </c>
      <c r="L33" s="8" t="s">
        <v>411</v>
      </c>
      <c r="M33" s="8" t="s">
        <v>413</v>
      </c>
      <c r="N33" s="8" t="s">
        <v>414</v>
      </c>
      <c r="O33" s="8" t="s">
        <v>416</v>
      </c>
      <c r="P33" s="8" t="s">
        <v>418</v>
      </c>
      <c r="Q33" s="8" t="s">
        <v>420</v>
      </c>
      <c r="R33" s="8" t="s">
        <v>422</v>
      </c>
      <c r="S33" s="8" t="s">
        <v>423</v>
      </c>
      <c r="T33" s="8" t="s">
        <v>423</v>
      </c>
      <c r="U33" s="8" t="s">
        <v>423</v>
      </c>
      <c r="V33" s="8" t="s">
        <v>423</v>
      </c>
      <c r="W33" s="8" t="s">
        <v>423</v>
      </c>
      <c r="X33" s="8" t="s">
        <v>423</v>
      </c>
      <c r="Y33" s="8" t="s">
        <v>423</v>
      </c>
      <c r="Z33" s="8" t="s">
        <v>423</v>
      </c>
      <c r="AA33" s="8" t="s">
        <v>423</v>
      </c>
      <c r="AB33" s="26" t="n">
        <f aca="false">WORKDAY.INTL(DATE(2026,10,7),12,11)</f>
        <v>46316</v>
      </c>
    </row>
    <row r="34" customFormat="false" ht="15" hidden="false" customHeight="false" outlineLevel="0" collapsed="false">
      <c r="A34" s="8" t="s">
        <v>430</v>
      </c>
      <c r="B34" s="8" t="s">
        <v>72</v>
      </c>
      <c r="C34" s="8" t="n">
        <v>2</v>
      </c>
      <c r="D34" s="8" t="s">
        <v>402</v>
      </c>
      <c r="E34" s="8" t="s">
        <v>402</v>
      </c>
      <c r="F34" s="8" t="s">
        <v>48</v>
      </c>
      <c r="G34" s="8" t="s">
        <v>403</v>
      </c>
      <c r="H34" s="8" t="s">
        <v>404</v>
      </c>
      <c r="I34" s="8" t="s">
        <v>406</v>
      </c>
      <c r="J34" s="8" t="s">
        <v>408</v>
      </c>
      <c r="K34" s="8" t="s">
        <v>410</v>
      </c>
      <c r="L34" s="8" t="s">
        <v>411</v>
      </c>
      <c r="M34" s="8" t="s">
        <v>413</v>
      </c>
      <c r="N34" s="8" t="s">
        <v>414</v>
      </c>
      <c r="O34" s="8" t="s">
        <v>416</v>
      </c>
      <c r="P34" s="8" t="s">
        <v>418</v>
      </c>
      <c r="Q34" s="8" t="s">
        <v>420</v>
      </c>
      <c r="R34" s="8" t="s">
        <v>422</v>
      </c>
      <c r="S34" s="8" t="s">
        <v>423</v>
      </c>
      <c r="T34" s="8" t="s">
        <v>423</v>
      </c>
      <c r="U34" s="8" t="s">
        <v>423</v>
      </c>
      <c r="V34" s="8" t="s">
        <v>402</v>
      </c>
      <c r="W34" s="8" t="s">
        <v>423</v>
      </c>
      <c r="X34" s="8" t="s">
        <v>423</v>
      </c>
      <c r="Y34" s="8" t="s">
        <v>423</v>
      </c>
      <c r="Z34" s="8" t="s">
        <v>423</v>
      </c>
      <c r="AA34" s="8" t="s">
        <v>423</v>
      </c>
      <c r="AB34" s="26" t="n">
        <f aca="false">WORKDAY.INTL(DATE(2026,10,7),12,11)</f>
        <v>46316</v>
      </c>
    </row>
    <row r="35" customFormat="false" ht="15" hidden="false" customHeight="false" outlineLevel="0" collapsed="false">
      <c r="A35" s="8" t="s">
        <v>431</v>
      </c>
      <c r="B35" s="8" t="s">
        <v>28</v>
      </c>
      <c r="C35" s="8" t="n">
        <v>7</v>
      </c>
      <c r="D35" s="8" t="s">
        <v>402</v>
      </c>
      <c r="E35" s="8" t="s">
        <v>48</v>
      </c>
      <c r="F35" s="8" t="s">
        <v>403</v>
      </c>
      <c r="G35" s="8" t="s">
        <v>404</v>
      </c>
      <c r="H35" s="8" t="s">
        <v>406</v>
      </c>
      <c r="I35" s="8" t="s">
        <v>408</v>
      </c>
      <c r="J35" s="8" t="s">
        <v>410</v>
      </c>
      <c r="K35" s="8" t="s">
        <v>411</v>
      </c>
      <c r="L35" s="8" t="s">
        <v>413</v>
      </c>
      <c r="M35" s="8" t="s">
        <v>414</v>
      </c>
      <c r="N35" s="8" t="s">
        <v>416</v>
      </c>
      <c r="O35" s="8" t="s">
        <v>418</v>
      </c>
      <c r="P35" s="8" t="s">
        <v>420</v>
      </c>
      <c r="Q35" s="8" t="s">
        <v>422</v>
      </c>
      <c r="R35" s="8" t="s">
        <v>423</v>
      </c>
      <c r="S35" s="8" t="s">
        <v>423</v>
      </c>
      <c r="T35" s="8" t="s">
        <v>423</v>
      </c>
      <c r="U35" s="8" t="s">
        <v>423</v>
      </c>
      <c r="V35" s="8" t="s">
        <v>423</v>
      </c>
      <c r="W35" s="8" t="s">
        <v>423</v>
      </c>
      <c r="X35" s="8" t="s">
        <v>423</v>
      </c>
      <c r="Y35" s="8" t="s">
        <v>423</v>
      </c>
      <c r="Z35" s="8" t="s">
        <v>423</v>
      </c>
      <c r="AA35" s="8" t="s">
        <v>423</v>
      </c>
      <c r="AB35" s="26" t="n">
        <f aca="false">WORKDAY.INTL(DATE(2026,10,6),12,11)</f>
        <v>46315</v>
      </c>
    </row>
    <row r="36" customFormat="false" ht="15" hidden="false" customHeight="false" outlineLevel="0" collapsed="false">
      <c r="A36" s="8" t="s">
        <v>431</v>
      </c>
      <c r="B36" s="8" t="s">
        <v>72</v>
      </c>
      <c r="C36" s="8" t="n">
        <v>4</v>
      </c>
      <c r="D36" s="8" t="s">
        <v>402</v>
      </c>
      <c r="E36" s="8" t="s">
        <v>48</v>
      </c>
      <c r="F36" s="8" t="s">
        <v>403</v>
      </c>
      <c r="G36" s="8" t="s">
        <v>404</v>
      </c>
      <c r="H36" s="8" t="s">
        <v>406</v>
      </c>
      <c r="I36" s="8" t="s">
        <v>408</v>
      </c>
      <c r="J36" s="8" t="s">
        <v>410</v>
      </c>
      <c r="K36" s="8" t="s">
        <v>411</v>
      </c>
      <c r="L36" s="8" t="s">
        <v>413</v>
      </c>
      <c r="M36" s="8" t="s">
        <v>414</v>
      </c>
      <c r="N36" s="8" t="s">
        <v>416</v>
      </c>
      <c r="O36" s="8" t="s">
        <v>418</v>
      </c>
      <c r="P36" s="8" t="s">
        <v>420</v>
      </c>
      <c r="Q36" s="8" t="s">
        <v>422</v>
      </c>
      <c r="R36" s="8" t="s">
        <v>423</v>
      </c>
      <c r="S36" s="8" t="s">
        <v>423</v>
      </c>
      <c r="T36" s="8" t="s">
        <v>423</v>
      </c>
      <c r="U36" s="8" t="s">
        <v>423</v>
      </c>
      <c r="V36" s="8" t="s">
        <v>402</v>
      </c>
      <c r="W36" s="8" t="s">
        <v>423</v>
      </c>
      <c r="X36" s="8" t="s">
        <v>423</v>
      </c>
      <c r="Y36" s="8" t="s">
        <v>423</v>
      </c>
      <c r="Z36" s="8" t="s">
        <v>423</v>
      </c>
      <c r="AA36" s="8" t="s">
        <v>423</v>
      </c>
      <c r="AB36" s="26" t="n">
        <f aca="false">WORKDAY.INTL(DATE(2026,10,6),12,11)</f>
        <v>46315</v>
      </c>
    </row>
    <row r="37" customFormat="false" ht="15" hidden="false" customHeight="false" outlineLevel="0" collapsed="false">
      <c r="A37" s="8" t="s">
        <v>431</v>
      </c>
      <c r="B37" s="8" t="s">
        <v>25</v>
      </c>
      <c r="C37" s="8" t="n">
        <v>3</v>
      </c>
      <c r="D37" s="8" t="s">
        <v>402</v>
      </c>
      <c r="E37" s="8" t="s">
        <v>48</v>
      </c>
      <c r="F37" s="8" t="s">
        <v>403</v>
      </c>
      <c r="G37" s="8" t="s">
        <v>404</v>
      </c>
      <c r="H37" s="8" t="s">
        <v>406</v>
      </c>
      <c r="I37" s="8" t="s">
        <v>408</v>
      </c>
      <c r="J37" s="8" t="s">
        <v>410</v>
      </c>
      <c r="K37" s="8" t="s">
        <v>411</v>
      </c>
      <c r="L37" s="8" t="s">
        <v>413</v>
      </c>
      <c r="M37" s="8" t="s">
        <v>414</v>
      </c>
      <c r="N37" s="8" t="s">
        <v>416</v>
      </c>
      <c r="O37" s="8" t="s">
        <v>418</v>
      </c>
      <c r="P37" s="8" t="s">
        <v>420</v>
      </c>
      <c r="Q37" s="8" t="s">
        <v>422</v>
      </c>
      <c r="R37" s="8" t="s">
        <v>423</v>
      </c>
      <c r="S37" s="8" t="s">
        <v>423</v>
      </c>
      <c r="T37" s="8" t="s">
        <v>423</v>
      </c>
      <c r="U37" s="8" t="s">
        <v>423</v>
      </c>
      <c r="V37" s="8" t="s">
        <v>402</v>
      </c>
      <c r="W37" s="8" t="s">
        <v>423</v>
      </c>
      <c r="X37" s="8" t="s">
        <v>423</v>
      </c>
      <c r="Y37" s="8" t="s">
        <v>423</v>
      </c>
      <c r="Z37" s="8" t="s">
        <v>423</v>
      </c>
      <c r="AA37" s="8" t="s">
        <v>423</v>
      </c>
      <c r="AB37" s="26" t="n">
        <f aca="false">WORKDAY.INTL(DATE(2026,10,6),12,11)</f>
        <v>46315</v>
      </c>
    </row>
    <row r="38" customFormat="false" ht="15" hidden="false" customHeight="false" outlineLevel="0" collapsed="false">
      <c r="A38" s="8" t="s">
        <v>432</v>
      </c>
      <c r="B38" s="8" t="s">
        <v>28</v>
      </c>
      <c r="C38" s="8" t="n">
        <v>6</v>
      </c>
      <c r="D38" s="8" t="s">
        <v>48</v>
      </c>
      <c r="E38" s="8" t="s">
        <v>403</v>
      </c>
      <c r="F38" s="8" t="s">
        <v>404</v>
      </c>
      <c r="G38" s="8" t="s">
        <v>406</v>
      </c>
      <c r="H38" s="8" t="s">
        <v>408</v>
      </c>
      <c r="I38" s="8" t="s">
        <v>410</v>
      </c>
      <c r="J38" s="8" t="s">
        <v>411</v>
      </c>
      <c r="K38" s="8" t="s">
        <v>413</v>
      </c>
      <c r="L38" s="8" t="s">
        <v>414</v>
      </c>
      <c r="M38" s="8" t="s">
        <v>416</v>
      </c>
      <c r="N38" s="8" t="s">
        <v>418</v>
      </c>
      <c r="O38" s="8" t="s">
        <v>420</v>
      </c>
      <c r="P38" s="8" t="s">
        <v>422</v>
      </c>
      <c r="Q38" s="8" t="s">
        <v>423</v>
      </c>
      <c r="R38" s="8" t="s">
        <v>423</v>
      </c>
      <c r="S38" s="8" t="s">
        <v>423</v>
      </c>
      <c r="T38" s="8" t="s">
        <v>423</v>
      </c>
      <c r="U38" s="8" t="s">
        <v>423</v>
      </c>
      <c r="V38" s="8" t="s">
        <v>423</v>
      </c>
      <c r="W38" s="8" t="s">
        <v>423</v>
      </c>
      <c r="X38" s="8" t="s">
        <v>423</v>
      </c>
      <c r="Y38" s="8" t="s">
        <v>423</v>
      </c>
      <c r="Z38" s="8" t="s">
        <v>423</v>
      </c>
      <c r="AA38" s="8" t="s">
        <v>423</v>
      </c>
      <c r="AB38" s="26" t="n">
        <f aca="false">WORKDAY.INTL(DATE(2026,10,5),12,11)</f>
        <v>46314</v>
      </c>
    </row>
    <row r="39" customFormat="false" ht="15" hidden="false" customHeight="false" outlineLevel="0" collapsed="false">
      <c r="A39" s="13" t="s">
        <v>433</v>
      </c>
      <c r="B39" s="13" t="s">
        <v>28</v>
      </c>
      <c r="C39" s="13" t="n">
        <v>7</v>
      </c>
      <c r="D39" s="13" t="s">
        <v>410</v>
      </c>
      <c r="E39" s="13" t="s">
        <v>411</v>
      </c>
      <c r="F39" s="13" t="s">
        <v>413</v>
      </c>
      <c r="G39" s="13" t="s">
        <v>414</v>
      </c>
      <c r="H39" s="13" t="s">
        <v>416</v>
      </c>
      <c r="I39" s="13" t="s">
        <v>418</v>
      </c>
      <c r="J39" s="13" t="s">
        <v>420</v>
      </c>
      <c r="K39" s="13" t="s">
        <v>422</v>
      </c>
      <c r="L39" s="13" t="s">
        <v>423</v>
      </c>
      <c r="M39" s="13" t="s">
        <v>423</v>
      </c>
      <c r="N39" s="13" t="s">
        <v>423</v>
      </c>
      <c r="O39" s="13" t="s">
        <v>423</v>
      </c>
      <c r="P39" s="13" t="s">
        <v>423</v>
      </c>
      <c r="Q39" s="13" t="s">
        <v>423</v>
      </c>
      <c r="R39" s="13" t="s">
        <v>423</v>
      </c>
      <c r="S39" s="13" t="s">
        <v>423</v>
      </c>
      <c r="T39" s="13" t="s">
        <v>423</v>
      </c>
      <c r="U39" s="13" t="s">
        <v>423</v>
      </c>
      <c r="V39" s="13" t="s">
        <v>423</v>
      </c>
      <c r="W39" s="13" t="s">
        <v>423</v>
      </c>
      <c r="X39" s="13" t="s">
        <v>423</v>
      </c>
      <c r="Y39" s="13" t="s">
        <v>423</v>
      </c>
      <c r="Z39" s="13" t="s">
        <v>423</v>
      </c>
      <c r="AA39" s="13" t="s">
        <v>423</v>
      </c>
      <c r="AB39" s="27" t="n">
        <f aca="false">WORKDAY.INTL(DATE(2026,10,5),6,11)</f>
        <v>46307</v>
      </c>
    </row>
    <row r="40" customFormat="false" ht="15" hidden="false" customHeight="false" outlineLevel="0" collapsed="false">
      <c r="A40" s="13" t="s">
        <v>434</v>
      </c>
      <c r="B40" s="13" t="s">
        <v>28</v>
      </c>
      <c r="C40" s="13" t="n">
        <v>3</v>
      </c>
      <c r="D40" s="13" t="s">
        <v>418</v>
      </c>
      <c r="E40" s="13" t="s">
        <v>420</v>
      </c>
      <c r="F40" s="13" t="s">
        <v>422</v>
      </c>
      <c r="G40" s="13" t="s">
        <v>423</v>
      </c>
      <c r="H40" s="13" t="s">
        <v>423</v>
      </c>
      <c r="I40" s="13" t="s">
        <v>423</v>
      </c>
      <c r="J40" s="13" t="s">
        <v>423</v>
      </c>
      <c r="K40" s="13" t="s">
        <v>423</v>
      </c>
      <c r="L40" s="13" t="s">
        <v>423</v>
      </c>
      <c r="M40" s="13" t="s">
        <v>423</v>
      </c>
      <c r="N40" s="13" t="s">
        <v>423</v>
      </c>
      <c r="O40" s="13" t="s">
        <v>423</v>
      </c>
      <c r="P40" s="13" t="s">
        <v>423</v>
      </c>
      <c r="Q40" s="13" t="s">
        <v>423</v>
      </c>
      <c r="R40" s="13" t="s">
        <v>423</v>
      </c>
      <c r="S40" s="13" t="s">
        <v>423</v>
      </c>
      <c r="T40" s="13" t="s">
        <v>423</v>
      </c>
      <c r="U40" s="13" t="s">
        <v>423</v>
      </c>
      <c r="V40" s="13" t="s">
        <v>423</v>
      </c>
      <c r="W40" s="13" t="s">
        <v>423</v>
      </c>
      <c r="X40" s="13" t="s">
        <v>423</v>
      </c>
      <c r="Y40" s="13" t="s">
        <v>423</v>
      </c>
      <c r="Z40" s="13" t="s">
        <v>423</v>
      </c>
      <c r="AA40" s="13" t="s">
        <v>423</v>
      </c>
      <c r="AB40" s="27" t="n">
        <f aca="false">WORKDAY.INTL(DATE(2026,10,5),1,11)</f>
        <v>46301</v>
      </c>
    </row>
    <row r="41" customFormat="false" ht="15" hidden="false" customHeight="false" outlineLevel="0" collapsed="false">
      <c r="A41" s="13" t="s">
        <v>435</v>
      </c>
      <c r="B41" s="13" t="s">
        <v>28</v>
      </c>
      <c r="C41" s="13" t="n">
        <v>5</v>
      </c>
      <c r="D41" s="13" t="s">
        <v>410</v>
      </c>
      <c r="E41" s="13" t="s">
        <v>411</v>
      </c>
      <c r="F41" s="13" t="s">
        <v>413</v>
      </c>
      <c r="G41" s="13" t="s">
        <v>414</v>
      </c>
      <c r="H41" s="13" t="s">
        <v>416</v>
      </c>
      <c r="I41" s="13" t="s">
        <v>418</v>
      </c>
      <c r="J41" s="13" t="s">
        <v>420</v>
      </c>
      <c r="K41" s="13" t="s">
        <v>422</v>
      </c>
      <c r="L41" s="13" t="s">
        <v>423</v>
      </c>
      <c r="M41" s="13" t="s">
        <v>423</v>
      </c>
      <c r="N41" s="13" t="s">
        <v>423</v>
      </c>
      <c r="O41" s="13" t="s">
        <v>423</v>
      </c>
      <c r="P41" s="13" t="s">
        <v>423</v>
      </c>
      <c r="Q41" s="13" t="s">
        <v>423</v>
      </c>
      <c r="R41" s="13" t="s">
        <v>423</v>
      </c>
      <c r="S41" s="13" t="s">
        <v>423</v>
      </c>
      <c r="T41" s="13" t="s">
        <v>423</v>
      </c>
      <c r="U41" s="13" t="s">
        <v>423</v>
      </c>
      <c r="V41" s="13" t="s">
        <v>423</v>
      </c>
      <c r="W41" s="13" t="s">
        <v>423</v>
      </c>
      <c r="X41" s="13" t="s">
        <v>423</v>
      </c>
      <c r="Y41" s="13" t="s">
        <v>423</v>
      </c>
      <c r="Z41" s="13" t="s">
        <v>423</v>
      </c>
      <c r="AA41" s="13" t="s">
        <v>423</v>
      </c>
      <c r="AB41" s="27" t="n">
        <f aca="false">WORKDAY.INTL(DATE(2026,10,5),6,11)</f>
        <v>46307</v>
      </c>
    </row>
    <row r="42" customFormat="false" ht="15" hidden="false" customHeight="false" outlineLevel="0" collapsed="false">
      <c r="A42" s="13" t="s">
        <v>436</v>
      </c>
      <c r="B42" s="13" t="s">
        <v>28</v>
      </c>
      <c r="C42" s="13" t="n">
        <v>1</v>
      </c>
      <c r="D42" s="13" t="s">
        <v>410</v>
      </c>
      <c r="E42" s="13" t="s">
        <v>411</v>
      </c>
      <c r="F42" s="13" t="s">
        <v>413</v>
      </c>
      <c r="G42" s="13" t="s">
        <v>414</v>
      </c>
      <c r="H42" s="13" t="s">
        <v>416</v>
      </c>
      <c r="I42" s="13" t="s">
        <v>418</v>
      </c>
      <c r="J42" s="13" t="s">
        <v>420</v>
      </c>
      <c r="K42" s="13" t="s">
        <v>422</v>
      </c>
      <c r="L42" s="13" t="s">
        <v>423</v>
      </c>
      <c r="M42" s="13" t="s">
        <v>423</v>
      </c>
      <c r="N42" s="13" t="s">
        <v>423</v>
      </c>
      <c r="O42" s="13" t="s">
        <v>423</v>
      </c>
      <c r="P42" s="13" t="s">
        <v>423</v>
      </c>
      <c r="Q42" s="13" t="s">
        <v>423</v>
      </c>
      <c r="R42" s="13" t="s">
        <v>423</v>
      </c>
      <c r="S42" s="13" t="s">
        <v>423</v>
      </c>
      <c r="T42" s="13" t="s">
        <v>423</v>
      </c>
      <c r="U42" s="13" t="s">
        <v>423</v>
      </c>
      <c r="V42" s="13" t="s">
        <v>423</v>
      </c>
      <c r="W42" s="13" t="s">
        <v>423</v>
      </c>
      <c r="X42" s="13" t="s">
        <v>423</v>
      </c>
      <c r="Y42" s="13" t="s">
        <v>423</v>
      </c>
      <c r="Z42" s="13" t="s">
        <v>423</v>
      </c>
      <c r="AA42" s="13" t="s">
        <v>423</v>
      </c>
      <c r="AB42" s="27" t="n">
        <f aca="false">WORKDAY.INTL(DATE(2026,10,5),6,11)</f>
        <v>46307</v>
      </c>
    </row>
    <row r="43" customFormat="false" ht="15" hidden="false" customHeight="false" outlineLevel="0" collapsed="false">
      <c r="A43" s="13" t="s">
        <v>437</v>
      </c>
      <c r="B43" s="13" t="s">
        <v>28</v>
      </c>
      <c r="C43" s="13" t="n">
        <v>3</v>
      </c>
      <c r="D43" s="13" t="s">
        <v>411</v>
      </c>
      <c r="E43" s="13" t="s">
        <v>413</v>
      </c>
      <c r="F43" s="13" t="s">
        <v>414</v>
      </c>
      <c r="G43" s="13" t="s">
        <v>416</v>
      </c>
      <c r="H43" s="13" t="s">
        <v>418</v>
      </c>
      <c r="I43" s="13" t="s">
        <v>420</v>
      </c>
      <c r="J43" s="13" t="s">
        <v>422</v>
      </c>
      <c r="K43" s="13" t="s">
        <v>423</v>
      </c>
      <c r="L43" s="13" t="s">
        <v>423</v>
      </c>
      <c r="M43" s="13" t="s">
        <v>423</v>
      </c>
      <c r="N43" s="13" t="s">
        <v>423</v>
      </c>
      <c r="O43" s="13" t="s">
        <v>423</v>
      </c>
      <c r="P43" s="13" t="s">
        <v>423</v>
      </c>
      <c r="Q43" s="13" t="s">
        <v>423</v>
      </c>
      <c r="R43" s="13" t="s">
        <v>423</v>
      </c>
      <c r="S43" s="13" t="s">
        <v>423</v>
      </c>
      <c r="T43" s="13" t="s">
        <v>423</v>
      </c>
      <c r="U43" s="13" t="s">
        <v>423</v>
      </c>
      <c r="V43" s="13" t="s">
        <v>423</v>
      </c>
      <c r="W43" s="13" t="s">
        <v>423</v>
      </c>
      <c r="X43" s="13" t="s">
        <v>423</v>
      </c>
      <c r="Y43" s="13" t="s">
        <v>423</v>
      </c>
      <c r="Z43" s="13" t="s">
        <v>423</v>
      </c>
      <c r="AA43" s="13" t="s">
        <v>423</v>
      </c>
      <c r="AB43" s="27" t="n">
        <f aca="false">WORKDAY.INTL(DATE(2026,10,5),5,11)</f>
        <v>46305</v>
      </c>
    </row>
    <row r="44" customFormat="false" ht="15" hidden="false" customHeight="false" outlineLevel="0" collapsed="false">
      <c r="A44" s="13" t="s">
        <v>438</v>
      </c>
      <c r="B44" s="13" t="s">
        <v>25</v>
      </c>
      <c r="C44" s="13" t="n">
        <v>2</v>
      </c>
      <c r="D44" s="13" t="s">
        <v>410</v>
      </c>
      <c r="E44" s="13" t="s">
        <v>411</v>
      </c>
      <c r="F44" s="13" t="s">
        <v>413</v>
      </c>
      <c r="G44" s="13" t="s">
        <v>414</v>
      </c>
      <c r="H44" s="13" t="s">
        <v>416</v>
      </c>
      <c r="I44" s="13" t="s">
        <v>418</v>
      </c>
      <c r="J44" s="13" t="s">
        <v>420</v>
      </c>
      <c r="K44" s="13" t="s">
        <v>422</v>
      </c>
      <c r="L44" s="13" t="s">
        <v>423</v>
      </c>
      <c r="M44" s="13" t="s">
        <v>423</v>
      </c>
      <c r="N44" s="13" t="s">
        <v>423</v>
      </c>
      <c r="O44" s="13" t="s">
        <v>423</v>
      </c>
      <c r="P44" s="13" t="s">
        <v>423</v>
      </c>
      <c r="Q44" s="13" t="s">
        <v>423</v>
      </c>
      <c r="R44" s="13" t="s">
        <v>423</v>
      </c>
      <c r="S44" s="13" t="s">
        <v>423</v>
      </c>
      <c r="T44" s="13" t="s">
        <v>423</v>
      </c>
      <c r="U44" s="13" t="s">
        <v>423</v>
      </c>
      <c r="V44" s="13" t="s">
        <v>402</v>
      </c>
      <c r="W44" s="13" t="s">
        <v>423</v>
      </c>
      <c r="X44" s="13" t="s">
        <v>423</v>
      </c>
      <c r="Y44" s="13" t="s">
        <v>423</v>
      </c>
      <c r="Z44" s="13" t="s">
        <v>423</v>
      </c>
      <c r="AA44" s="13" t="s">
        <v>423</v>
      </c>
      <c r="AB44" s="27" t="n">
        <f aca="false">WORKDAY.INTL(DATE(2026,10,5),7,11)</f>
        <v>46308</v>
      </c>
    </row>
    <row r="45" customFormat="false" ht="15" hidden="false" customHeight="false" outlineLevel="0" collapsed="false">
      <c r="A45" s="13" t="s">
        <v>439</v>
      </c>
      <c r="B45" s="13" t="s">
        <v>25</v>
      </c>
      <c r="C45" s="13" t="n">
        <v>4</v>
      </c>
      <c r="D45" s="13" t="s">
        <v>410</v>
      </c>
      <c r="E45" s="13" t="s">
        <v>411</v>
      </c>
      <c r="F45" s="13" t="s">
        <v>413</v>
      </c>
      <c r="G45" s="13" t="s">
        <v>414</v>
      </c>
      <c r="H45" s="13" t="s">
        <v>416</v>
      </c>
      <c r="I45" s="13" t="s">
        <v>418</v>
      </c>
      <c r="J45" s="13" t="s">
        <v>420</v>
      </c>
      <c r="K45" s="13" t="s">
        <v>422</v>
      </c>
      <c r="L45" s="13" t="s">
        <v>423</v>
      </c>
      <c r="M45" s="13" t="s">
        <v>423</v>
      </c>
      <c r="N45" s="13" t="s">
        <v>423</v>
      </c>
      <c r="O45" s="13" t="s">
        <v>423</v>
      </c>
      <c r="P45" s="13" t="s">
        <v>423</v>
      </c>
      <c r="Q45" s="13" t="s">
        <v>423</v>
      </c>
      <c r="R45" s="13" t="s">
        <v>423</v>
      </c>
      <c r="S45" s="13" t="s">
        <v>423</v>
      </c>
      <c r="T45" s="13" t="s">
        <v>423</v>
      </c>
      <c r="U45" s="13" t="s">
        <v>423</v>
      </c>
      <c r="V45" s="13" t="s">
        <v>402</v>
      </c>
      <c r="W45" s="13" t="s">
        <v>423</v>
      </c>
      <c r="X45" s="13" t="s">
        <v>423</v>
      </c>
      <c r="Y45" s="13" t="s">
        <v>423</v>
      </c>
      <c r="Z45" s="13" t="s">
        <v>423</v>
      </c>
      <c r="AA45" s="13" t="s">
        <v>423</v>
      </c>
      <c r="AB45" s="27" t="n">
        <f aca="false">WORKDAY.INTL(DATE(2026,10,5),7,11)</f>
        <v>46308</v>
      </c>
    </row>
    <row r="46" customFormat="false" ht="15" hidden="false" customHeight="false" outlineLevel="0" collapsed="false">
      <c r="A46" s="13" t="s">
        <v>434</v>
      </c>
      <c r="B46" s="13" t="s">
        <v>25</v>
      </c>
      <c r="C46" s="13" t="n">
        <v>9</v>
      </c>
      <c r="D46" s="13" t="s">
        <v>418</v>
      </c>
      <c r="E46" s="13" t="s">
        <v>420</v>
      </c>
      <c r="F46" s="13" t="s">
        <v>422</v>
      </c>
      <c r="G46" s="13" t="s">
        <v>423</v>
      </c>
      <c r="H46" s="13" t="s">
        <v>423</v>
      </c>
      <c r="I46" s="13" t="s">
        <v>423</v>
      </c>
      <c r="J46" s="13" t="s">
        <v>423</v>
      </c>
      <c r="K46" s="13" t="s">
        <v>423</v>
      </c>
      <c r="L46" s="13" t="s">
        <v>423</v>
      </c>
      <c r="M46" s="13" t="s">
        <v>423</v>
      </c>
      <c r="N46" s="13" t="s">
        <v>423</v>
      </c>
      <c r="O46" s="13" t="s">
        <v>423</v>
      </c>
      <c r="P46" s="13" t="s">
        <v>423</v>
      </c>
      <c r="Q46" s="13" t="s">
        <v>423</v>
      </c>
      <c r="R46" s="13" t="s">
        <v>423</v>
      </c>
      <c r="S46" s="13" t="s">
        <v>423</v>
      </c>
      <c r="T46" s="13" t="s">
        <v>423</v>
      </c>
      <c r="U46" s="13" t="s">
        <v>423</v>
      </c>
      <c r="V46" s="13" t="s">
        <v>402</v>
      </c>
      <c r="W46" s="13" t="s">
        <v>423</v>
      </c>
      <c r="X46" s="13" t="s">
        <v>423</v>
      </c>
      <c r="Y46" s="13" t="s">
        <v>423</v>
      </c>
      <c r="Z46" s="13" t="s">
        <v>423</v>
      </c>
      <c r="AA46" s="13" t="s">
        <v>423</v>
      </c>
      <c r="AB46" s="27" t="n">
        <f aca="false">WORKDAY.INTL(DATE(2026,10,5),2,11)</f>
        <v>46302</v>
      </c>
    </row>
    <row r="47" customFormat="false" ht="15" hidden="false" customHeight="false" outlineLevel="0" collapsed="false">
      <c r="A47" s="13" t="s">
        <v>435</v>
      </c>
      <c r="B47" s="13" t="s">
        <v>25</v>
      </c>
      <c r="C47" s="13" t="n">
        <v>3</v>
      </c>
      <c r="D47" s="13" t="s">
        <v>410</v>
      </c>
      <c r="E47" s="13" t="s">
        <v>411</v>
      </c>
      <c r="F47" s="13" t="s">
        <v>413</v>
      </c>
      <c r="G47" s="13" t="s">
        <v>414</v>
      </c>
      <c r="H47" s="13" t="s">
        <v>416</v>
      </c>
      <c r="I47" s="13" t="s">
        <v>418</v>
      </c>
      <c r="J47" s="13" t="s">
        <v>420</v>
      </c>
      <c r="K47" s="13" t="s">
        <v>422</v>
      </c>
      <c r="L47" s="13" t="s">
        <v>423</v>
      </c>
      <c r="M47" s="13" t="s">
        <v>423</v>
      </c>
      <c r="N47" s="13" t="s">
        <v>423</v>
      </c>
      <c r="O47" s="13" t="s">
        <v>423</v>
      </c>
      <c r="P47" s="13" t="s">
        <v>423</v>
      </c>
      <c r="Q47" s="13" t="s">
        <v>423</v>
      </c>
      <c r="R47" s="13" t="s">
        <v>423</v>
      </c>
      <c r="S47" s="13" t="s">
        <v>423</v>
      </c>
      <c r="T47" s="13" t="s">
        <v>423</v>
      </c>
      <c r="U47" s="13" t="s">
        <v>423</v>
      </c>
      <c r="V47" s="13" t="s">
        <v>402</v>
      </c>
      <c r="W47" s="13" t="s">
        <v>423</v>
      </c>
      <c r="X47" s="13" t="s">
        <v>423</v>
      </c>
      <c r="Y47" s="13" t="s">
        <v>423</v>
      </c>
      <c r="Z47" s="13" t="s">
        <v>423</v>
      </c>
      <c r="AA47" s="13" t="s">
        <v>423</v>
      </c>
      <c r="AB47" s="27" t="n">
        <f aca="false">WORKDAY.INTL(DATE(2026,10,5),7,11)</f>
        <v>46308</v>
      </c>
    </row>
    <row r="48" customFormat="false" ht="15" hidden="false" customHeight="false" outlineLevel="0" collapsed="false">
      <c r="A48" s="13" t="s">
        <v>436</v>
      </c>
      <c r="B48" s="13" t="s">
        <v>25</v>
      </c>
      <c r="C48" s="13" t="n">
        <v>1</v>
      </c>
      <c r="D48" s="13" t="s">
        <v>410</v>
      </c>
      <c r="E48" s="13" t="s">
        <v>411</v>
      </c>
      <c r="F48" s="13" t="s">
        <v>413</v>
      </c>
      <c r="G48" s="13" t="s">
        <v>414</v>
      </c>
      <c r="H48" s="13" t="s">
        <v>416</v>
      </c>
      <c r="I48" s="13" t="s">
        <v>418</v>
      </c>
      <c r="J48" s="13" t="s">
        <v>420</v>
      </c>
      <c r="K48" s="13" t="s">
        <v>422</v>
      </c>
      <c r="L48" s="13" t="s">
        <v>423</v>
      </c>
      <c r="M48" s="13" t="s">
        <v>423</v>
      </c>
      <c r="N48" s="13" t="s">
        <v>423</v>
      </c>
      <c r="O48" s="13" t="s">
        <v>423</v>
      </c>
      <c r="P48" s="13" t="s">
        <v>423</v>
      </c>
      <c r="Q48" s="13" t="s">
        <v>423</v>
      </c>
      <c r="R48" s="13" t="s">
        <v>423</v>
      </c>
      <c r="S48" s="13" t="s">
        <v>423</v>
      </c>
      <c r="T48" s="13" t="s">
        <v>423</v>
      </c>
      <c r="U48" s="13" t="s">
        <v>423</v>
      </c>
      <c r="V48" s="13" t="s">
        <v>402</v>
      </c>
      <c r="W48" s="13" t="s">
        <v>423</v>
      </c>
      <c r="X48" s="13" t="s">
        <v>423</v>
      </c>
      <c r="Y48" s="13" t="s">
        <v>423</v>
      </c>
      <c r="Z48" s="13" t="s">
        <v>423</v>
      </c>
      <c r="AA48" s="13" t="s">
        <v>423</v>
      </c>
      <c r="AB48" s="27" t="n">
        <f aca="false">WORKDAY.INTL(DATE(2026,10,5),7,11)</f>
        <v>46308</v>
      </c>
    </row>
    <row r="49" customFormat="false" ht="15" hidden="false" customHeight="false" outlineLevel="0" collapsed="false">
      <c r="A49" s="13" t="s">
        <v>439</v>
      </c>
      <c r="B49" s="13" t="s">
        <v>68</v>
      </c>
      <c r="C49" s="13" t="n">
        <v>1</v>
      </c>
      <c r="D49" s="13" t="s">
        <v>410</v>
      </c>
      <c r="E49" s="13" t="s">
        <v>411</v>
      </c>
      <c r="F49" s="13" t="s">
        <v>413</v>
      </c>
      <c r="G49" s="13" t="s">
        <v>414</v>
      </c>
      <c r="H49" s="13" t="s">
        <v>416</v>
      </c>
      <c r="I49" s="13" t="s">
        <v>418</v>
      </c>
      <c r="J49" s="13" t="s">
        <v>420</v>
      </c>
      <c r="K49" s="13" t="s">
        <v>422</v>
      </c>
      <c r="L49" s="13" t="s">
        <v>423</v>
      </c>
      <c r="M49" s="13" t="s">
        <v>423</v>
      </c>
      <c r="N49" s="13" t="s">
        <v>423</v>
      </c>
      <c r="O49" s="13" t="s">
        <v>423</v>
      </c>
      <c r="P49" s="13" t="s">
        <v>423</v>
      </c>
      <c r="Q49" s="13" t="s">
        <v>423</v>
      </c>
      <c r="R49" s="13" t="s">
        <v>423</v>
      </c>
      <c r="S49" s="13" t="s">
        <v>423</v>
      </c>
      <c r="T49" s="13" t="s">
        <v>423</v>
      </c>
      <c r="U49" s="13" t="s">
        <v>423</v>
      </c>
      <c r="V49" s="13" t="s">
        <v>402</v>
      </c>
      <c r="W49" s="13" t="s">
        <v>423</v>
      </c>
      <c r="X49" s="13" t="s">
        <v>423</v>
      </c>
      <c r="Y49" s="13" t="s">
        <v>423</v>
      </c>
      <c r="Z49" s="13" t="s">
        <v>423</v>
      </c>
      <c r="AA49" s="13" t="s">
        <v>423</v>
      </c>
      <c r="AB49" s="27" t="n">
        <f aca="false">WORKDAY.INTL(DATE(2026,10,5),7,11)</f>
        <v>46308</v>
      </c>
    </row>
    <row r="50" customFormat="false" ht="15" hidden="false" customHeight="false" outlineLevel="0" collapsed="false">
      <c r="A50" s="13" t="s">
        <v>434</v>
      </c>
      <c r="B50" s="13" t="s">
        <v>68</v>
      </c>
      <c r="C50" s="13" t="n">
        <v>1</v>
      </c>
      <c r="D50" s="13" t="s">
        <v>410</v>
      </c>
      <c r="E50" s="13" t="s">
        <v>411</v>
      </c>
      <c r="F50" s="13" t="s">
        <v>413</v>
      </c>
      <c r="G50" s="13" t="s">
        <v>414</v>
      </c>
      <c r="H50" s="13" t="s">
        <v>416</v>
      </c>
      <c r="I50" s="13" t="s">
        <v>418</v>
      </c>
      <c r="J50" s="13" t="s">
        <v>420</v>
      </c>
      <c r="K50" s="13" t="s">
        <v>422</v>
      </c>
      <c r="L50" s="13" t="s">
        <v>423</v>
      </c>
      <c r="M50" s="13" t="s">
        <v>423</v>
      </c>
      <c r="N50" s="13" t="s">
        <v>423</v>
      </c>
      <c r="O50" s="13" t="s">
        <v>423</v>
      </c>
      <c r="P50" s="13" t="s">
        <v>423</v>
      </c>
      <c r="Q50" s="13" t="s">
        <v>423</v>
      </c>
      <c r="R50" s="13" t="s">
        <v>423</v>
      </c>
      <c r="S50" s="13" t="s">
        <v>423</v>
      </c>
      <c r="T50" s="13" t="s">
        <v>423</v>
      </c>
      <c r="U50" s="13" t="s">
        <v>423</v>
      </c>
      <c r="V50" s="13" t="s">
        <v>402</v>
      </c>
      <c r="W50" s="13" t="s">
        <v>423</v>
      </c>
      <c r="X50" s="13" t="s">
        <v>423</v>
      </c>
      <c r="Y50" s="13" t="s">
        <v>423</v>
      </c>
      <c r="Z50" s="13" t="s">
        <v>423</v>
      </c>
      <c r="AA50" s="13" t="s">
        <v>423</v>
      </c>
      <c r="AB50" s="27" t="n">
        <f aca="false">WORKDAY.INTL(DATE(2026,10,5),7,11)</f>
        <v>46308</v>
      </c>
    </row>
    <row r="51" customFormat="false" ht="15" hidden="false" customHeight="false" outlineLevel="0" collapsed="false">
      <c r="A51" s="13" t="s">
        <v>435</v>
      </c>
      <c r="B51" s="13" t="s">
        <v>68</v>
      </c>
      <c r="C51" s="13" t="n">
        <v>2</v>
      </c>
      <c r="D51" s="13" t="s">
        <v>410</v>
      </c>
      <c r="E51" s="13" t="s">
        <v>411</v>
      </c>
      <c r="F51" s="13" t="s">
        <v>413</v>
      </c>
      <c r="G51" s="13" t="s">
        <v>414</v>
      </c>
      <c r="H51" s="13" t="s">
        <v>416</v>
      </c>
      <c r="I51" s="13" t="s">
        <v>418</v>
      </c>
      <c r="J51" s="13" t="s">
        <v>420</v>
      </c>
      <c r="K51" s="13" t="s">
        <v>422</v>
      </c>
      <c r="L51" s="13" t="s">
        <v>423</v>
      </c>
      <c r="M51" s="13" t="s">
        <v>423</v>
      </c>
      <c r="N51" s="13" t="s">
        <v>423</v>
      </c>
      <c r="O51" s="13" t="s">
        <v>423</v>
      </c>
      <c r="P51" s="13" t="s">
        <v>423</v>
      </c>
      <c r="Q51" s="13" t="s">
        <v>423</v>
      </c>
      <c r="R51" s="13" t="s">
        <v>423</v>
      </c>
      <c r="S51" s="13" t="s">
        <v>423</v>
      </c>
      <c r="T51" s="13" t="s">
        <v>423</v>
      </c>
      <c r="U51" s="13" t="s">
        <v>423</v>
      </c>
      <c r="V51" s="13" t="s">
        <v>402</v>
      </c>
      <c r="W51" s="13" t="s">
        <v>423</v>
      </c>
      <c r="X51" s="13" t="s">
        <v>423</v>
      </c>
      <c r="Y51" s="13" t="s">
        <v>423</v>
      </c>
      <c r="Z51" s="13" t="s">
        <v>423</v>
      </c>
      <c r="AA51" s="13" t="s">
        <v>423</v>
      </c>
      <c r="AB51" s="27" t="n">
        <f aca="false">WORKDAY.INTL(DATE(2026,10,5),7,11)</f>
        <v>46308</v>
      </c>
    </row>
    <row r="52" customFormat="false" ht="15" hidden="false" customHeight="false" outlineLevel="0" collapsed="false">
      <c r="A52" s="13" t="s">
        <v>440</v>
      </c>
      <c r="B52" s="13" t="s">
        <v>68</v>
      </c>
      <c r="C52" s="13" t="n">
        <v>1</v>
      </c>
      <c r="D52" s="13" t="s">
        <v>410</v>
      </c>
      <c r="E52" s="13" t="s">
        <v>411</v>
      </c>
      <c r="F52" s="13" t="s">
        <v>413</v>
      </c>
      <c r="G52" s="13" t="s">
        <v>414</v>
      </c>
      <c r="H52" s="13" t="s">
        <v>416</v>
      </c>
      <c r="I52" s="13" t="s">
        <v>418</v>
      </c>
      <c r="J52" s="13" t="s">
        <v>420</v>
      </c>
      <c r="K52" s="13" t="s">
        <v>422</v>
      </c>
      <c r="L52" s="13" t="s">
        <v>423</v>
      </c>
      <c r="M52" s="13" t="s">
        <v>423</v>
      </c>
      <c r="N52" s="13" t="s">
        <v>423</v>
      </c>
      <c r="O52" s="13" t="s">
        <v>423</v>
      </c>
      <c r="P52" s="13" t="s">
        <v>423</v>
      </c>
      <c r="Q52" s="13" t="s">
        <v>423</v>
      </c>
      <c r="R52" s="13" t="s">
        <v>423</v>
      </c>
      <c r="S52" s="13" t="s">
        <v>423</v>
      </c>
      <c r="T52" s="13" t="s">
        <v>423</v>
      </c>
      <c r="U52" s="13" t="s">
        <v>423</v>
      </c>
      <c r="V52" s="13" t="s">
        <v>402</v>
      </c>
      <c r="W52" s="13" t="s">
        <v>423</v>
      </c>
      <c r="X52" s="13" t="s">
        <v>423</v>
      </c>
      <c r="Y52" s="13" t="s">
        <v>423</v>
      </c>
      <c r="Z52" s="13" t="s">
        <v>423</v>
      </c>
      <c r="AA52" s="13" t="s">
        <v>423</v>
      </c>
      <c r="AB52" s="27" t="n">
        <f aca="false">WORKDAY.INTL(DATE(2026,10,5),7,11)</f>
        <v>46308</v>
      </c>
    </row>
    <row r="53" customFormat="false" ht="15" hidden="false" customHeight="false" outlineLevel="0" collapsed="false">
      <c r="A53" s="13" t="s">
        <v>434</v>
      </c>
      <c r="B53" s="13" t="s">
        <v>72</v>
      </c>
      <c r="C53" s="13" t="n">
        <v>3</v>
      </c>
      <c r="D53" s="13" t="s">
        <v>408</v>
      </c>
      <c r="E53" s="13" t="s">
        <v>410</v>
      </c>
      <c r="F53" s="13" t="s">
        <v>411</v>
      </c>
      <c r="G53" s="13" t="s">
        <v>413</v>
      </c>
      <c r="H53" s="13" t="s">
        <v>414</v>
      </c>
      <c r="I53" s="13" t="s">
        <v>416</v>
      </c>
      <c r="J53" s="13" t="s">
        <v>418</v>
      </c>
      <c r="K53" s="13" t="s">
        <v>420</v>
      </c>
      <c r="L53" s="13" t="s">
        <v>422</v>
      </c>
      <c r="M53" s="13" t="s">
        <v>423</v>
      </c>
      <c r="N53" s="13" t="s">
        <v>423</v>
      </c>
      <c r="O53" s="13" t="s">
        <v>423</v>
      </c>
      <c r="P53" s="13" t="s">
        <v>423</v>
      </c>
      <c r="Q53" s="13" t="s">
        <v>423</v>
      </c>
      <c r="R53" s="13" t="s">
        <v>423</v>
      </c>
      <c r="S53" s="13" t="s">
        <v>423</v>
      </c>
      <c r="T53" s="13" t="s">
        <v>423</v>
      </c>
      <c r="U53" s="13" t="s">
        <v>423</v>
      </c>
      <c r="V53" s="13" t="s">
        <v>402</v>
      </c>
      <c r="W53" s="13" t="s">
        <v>423</v>
      </c>
      <c r="X53" s="13" t="s">
        <v>423</v>
      </c>
      <c r="Y53" s="13" t="s">
        <v>423</v>
      </c>
      <c r="Z53" s="13" t="s">
        <v>423</v>
      </c>
      <c r="AA53" s="13" t="s">
        <v>423</v>
      </c>
      <c r="AB53" s="27" t="n">
        <f aca="false">WORKDAY.INTL(DATE(2026,10,5),8,11)</f>
        <v>46309</v>
      </c>
    </row>
    <row r="54" customFormat="false" ht="15" hidden="false" customHeight="false" outlineLevel="0" collapsed="false">
      <c r="A54" s="13" t="s">
        <v>436</v>
      </c>
      <c r="B54" s="13" t="s">
        <v>72</v>
      </c>
      <c r="C54" s="13" t="n">
        <v>1</v>
      </c>
      <c r="D54" s="13" t="s">
        <v>408</v>
      </c>
      <c r="E54" s="13" t="s">
        <v>410</v>
      </c>
      <c r="F54" s="13" t="s">
        <v>411</v>
      </c>
      <c r="G54" s="13" t="s">
        <v>413</v>
      </c>
      <c r="H54" s="13" t="s">
        <v>414</v>
      </c>
      <c r="I54" s="13" t="s">
        <v>416</v>
      </c>
      <c r="J54" s="13" t="s">
        <v>418</v>
      </c>
      <c r="K54" s="13" t="s">
        <v>420</v>
      </c>
      <c r="L54" s="13" t="s">
        <v>422</v>
      </c>
      <c r="M54" s="13" t="s">
        <v>423</v>
      </c>
      <c r="N54" s="13" t="s">
        <v>423</v>
      </c>
      <c r="O54" s="13" t="s">
        <v>423</v>
      </c>
      <c r="P54" s="13" t="s">
        <v>423</v>
      </c>
      <c r="Q54" s="13" t="s">
        <v>423</v>
      </c>
      <c r="R54" s="13" t="s">
        <v>423</v>
      </c>
      <c r="S54" s="13" t="s">
        <v>423</v>
      </c>
      <c r="T54" s="13" t="s">
        <v>423</v>
      </c>
      <c r="U54" s="13" t="s">
        <v>423</v>
      </c>
      <c r="V54" s="13" t="s">
        <v>402</v>
      </c>
      <c r="W54" s="13" t="s">
        <v>423</v>
      </c>
      <c r="X54" s="13" t="s">
        <v>423</v>
      </c>
      <c r="Y54" s="13" t="s">
        <v>423</v>
      </c>
      <c r="Z54" s="13" t="s">
        <v>423</v>
      </c>
      <c r="AA54" s="13" t="s">
        <v>423</v>
      </c>
      <c r="AB54" s="27" t="n">
        <f aca="false">WORKDAY.INTL(DATE(2026,10,5),8,11)</f>
        <v>46309</v>
      </c>
    </row>
    <row r="56" customFormat="false" ht="15" hidden="false" customHeight="false" outlineLevel="0" collapsed="false">
      <c r="A56" s="20" t="s">
        <v>441</v>
      </c>
    </row>
    <row r="57" customFormat="false" ht="15" hidden="false" customHeight="false" outlineLevel="0" collapsed="false">
      <c r="A57" s="20" t="s">
        <v>442</v>
      </c>
    </row>
    <row r="58" customFormat="false" ht="15" hidden="false" customHeight="false" outlineLevel="0" collapsed="false">
      <c r="A58" s="20" t="s">
        <v>443</v>
      </c>
    </row>
    <row r="59" customFormat="false" ht="15" hidden="false" customHeight="false" outlineLevel="0" collapsed="false">
      <c r="A59" s="20" t="s">
        <v>444</v>
      </c>
    </row>
    <row r="60" customFormat="false" ht="15" hidden="false" customHeight="false" outlineLevel="0" collapsed="false">
      <c r="A60" s="20" t="s">
        <v>445</v>
      </c>
    </row>
    <row r="61" customFormat="false" ht="15" hidden="false" customHeight="false" outlineLevel="0" collapsed="false">
      <c r="A61" s="20" t="s">
        <v>446</v>
      </c>
    </row>
    <row r="62" customFormat="false" ht="15" hidden="false" customHeight="false" outlineLevel="0" collapsed="false">
      <c r="A62" s="20" t="s">
        <v>447</v>
      </c>
    </row>
    <row r="63" customFormat="false" ht="15" hidden="false" customHeight="false" outlineLevel="0" collapsed="false">
      <c r="A63" s="20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21" t="s">
        <v>449</v>
      </c>
    </row>
    <row r="3" customFormat="false" ht="31.5" hidden="false" customHeight="true" outlineLevel="0" collapsed="false">
      <c r="A3" s="2" t="s">
        <v>374</v>
      </c>
      <c r="B3" s="2" t="s">
        <v>375</v>
      </c>
      <c r="C3" s="2" t="s">
        <v>16</v>
      </c>
      <c r="D3" s="2" t="s">
        <v>450</v>
      </c>
      <c r="E3" s="2" t="s">
        <v>403</v>
      </c>
      <c r="F3" s="2" t="s">
        <v>404</v>
      </c>
      <c r="G3" s="2" t="s">
        <v>406</v>
      </c>
      <c r="H3" s="2" t="s">
        <v>408</v>
      </c>
      <c r="I3" s="2" t="s">
        <v>410</v>
      </c>
      <c r="J3" s="2" t="s">
        <v>411</v>
      </c>
      <c r="K3" s="2" t="s">
        <v>413</v>
      </c>
      <c r="L3" s="2" t="s">
        <v>414</v>
      </c>
      <c r="M3" s="2" t="s">
        <v>416</v>
      </c>
      <c r="N3" s="2" t="s">
        <v>418</v>
      </c>
      <c r="O3" s="2" t="s">
        <v>420</v>
      </c>
      <c r="P3" s="2" t="s">
        <v>422</v>
      </c>
    </row>
    <row r="4" customFormat="false" ht="15" hidden="false" customHeight="false" outlineLevel="0" collapsed="false">
      <c r="A4" s="3" t="s">
        <v>432</v>
      </c>
      <c r="B4" s="3" t="s">
        <v>28</v>
      </c>
      <c r="C4" s="3" t="n">
        <v>6</v>
      </c>
      <c r="D4" s="28" t="n">
        <f aca="false">DATE(2026,10,5)</f>
        <v>46300</v>
      </c>
      <c r="E4" s="28" t="n">
        <f aca="false">WORKDAY.INTL(D4,1,11)</f>
        <v>46301</v>
      </c>
      <c r="F4" s="28" t="n">
        <f aca="false">WORKDAY.INTL(E4,1,11)</f>
        <v>46302</v>
      </c>
      <c r="G4" s="28" t="n">
        <f aca="false">WORKDAY.INTL(F4,1,11)</f>
        <v>46303</v>
      </c>
      <c r="H4" s="28" t="n">
        <f aca="false">WORKDAY.INTL(G4,1,11)</f>
        <v>46304</v>
      </c>
      <c r="I4" s="28" t="n">
        <f aca="false">WORKDAY.INTL(H4,1,11)</f>
        <v>46305</v>
      </c>
      <c r="J4" s="28" t="n">
        <f aca="false">WORKDAY.INTL(I4,1,11)</f>
        <v>46307</v>
      </c>
      <c r="K4" s="28" t="n">
        <f aca="false">WORKDAY.INTL(J4,1,11)</f>
        <v>46308</v>
      </c>
      <c r="L4" s="28" t="n">
        <f aca="false">WORKDAY.INTL(K4,1,11)</f>
        <v>46309</v>
      </c>
      <c r="M4" s="28" t="n">
        <f aca="false">WORKDAY.INTL(L4,1,11)</f>
        <v>46310</v>
      </c>
      <c r="N4" s="28" t="n">
        <f aca="false">WORKDAY.INTL(M4,1,11)</f>
        <v>46311</v>
      </c>
      <c r="O4" s="28" t="n">
        <f aca="false">WORKDAY.INTL(N4,1,11)</f>
        <v>46312</v>
      </c>
      <c r="P4" s="28" t="n">
        <f aca="false">WORKDAY.INTL(O4,1,11)</f>
        <v>46314</v>
      </c>
    </row>
    <row r="5" customFormat="false" ht="15" hidden="false" customHeight="false" outlineLevel="0" collapsed="false">
      <c r="A5" s="3" t="s">
        <v>431</v>
      </c>
      <c r="B5" s="3" t="s">
        <v>28</v>
      </c>
      <c r="C5" s="3" t="n">
        <v>7</v>
      </c>
      <c r="D5" s="28" t="n">
        <f aca="false">DATE(2026,10,6)</f>
        <v>46301</v>
      </c>
      <c r="E5" s="28" t="n">
        <f aca="false">WORKDAY.INTL(D5,1,11)</f>
        <v>46302</v>
      </c>
      <c r="F5" s="28" t="n">
        <f aca="false">WORKDAY.INTL(E5,1,11)</f>
        <v>46303</v>
      </c>
      <c r="G5" s="28" t="n">
        <f aca="false">WORKDAY.INTL(F5,1,11)</f>
        <v>46304</v>
      </c>
      <c r="H5" s="28" t="n">
        <f aca="false">WORKDAY.INTL(G5,1,11)</f>
        <v>46305</v>
      </c>
      <c r="I5" s="28" t="n">
        <f aca="false">WORKDAY.INTL(H5,1,11)</f>
        <v>46307</v>
      </c>
      <c r="J5" s="28" t="n">
        <f aca="false">WORKDAY.INTL(I5,1,11)</f>
        <v>46308</v>
      </c>
      <c r="K5" s="28" t="n">
        <f aca="false">WORKDAY.INTL(J5,1,11)</f>
        <v>46309</v>
      </c>
      <c r="L5" s="28" t="n">
        <f aca="false">WORKDAY.INTL(K5,1,11)</f>
        <v>46310</v>
      </c>
      <c r="M5" s="28" t="n">
        <f aca="false">WORKDAY.INTL(L5,1,11)</f>
        <v>46311</v>
      </c>
      <c r="N5" s="28" t="n">
        <f aca="false">WORKDAY.INTL(M5,1,11)</f>
        <v>46312</v>
      </c>
      <c r="O5" s="28" t="n">
        <f aca="false">WORKDAY.INTL(N5,1,11)</f>
        <v>46314</v>
      </c>
      <c r="P5" s="28" t="n">
        <f aca="false">WORKDAY.INTL(O5,1,11)</f>
        <v>46315</v>
      </c>
    </row>
    <row r="6" customFormat="false" ht="15" hidden="false" customHeight="false" outlineLevel="0" collapsed="false">
      <c r="A6" s="3" t="s">
        <v>431</v>
      </c>
      <c r="B6" s="3" t="s">
        <v>72</v>
      </c>
      <c r="C6" s="3" t="n">
        <v>4</v>
      </c>
      <c r="D6" s="28" t="n">
        <f aca="false">DATE(2026,10,6)</f>
        <v>46301</v>
      </c>
      <c r="E6" s="28" t="n">
        <f aca="false">WORKDAY.INTL(D6,1,11)</f>
        <v>46302</v>
      </c>
      <c r="F6" s="28" t="n">
        <f aca="false">WORKDAY.INTL(E6,1,11)</f>
        <v>46303</v>
      </c>
      <c r="G6" s="28" t="n">
        <f aca="false">WORKDAY.INTL(F6,1,11)</f>
        <v>46304</v>
      </c>
      <c r="H6" s="28" t="n">
        <f aca="false">WORKDAY.INTL(G6,1,11)</f>
        <v>46305</v>
      </c>
      <c r="I6" s="28" t="n">
        <f aca="false">WORKDAY.INTL(H6,1,11)</f>
        <v>46307</v>
      </c>
      <c r="J6" s="28" t="n">
        <f aca="false">WORKDAY.INTL(I6,1,11)</f>
        <v>46308</v>
      </c>
      <c r="K6" s="28" t="n">
        <f aca="false">WORKDAY.INTL(J6,1,11)</f>
        <v>46309</v>
      </c>
      <c r="L6" s="28" t="n">
        <f aca="false">WORKDAY.INTL(K6,1,11)</f>
        <v>46310</v>
      </c>
      <c r="M6" s="28" t="n">
        <f aca="false">WORKDAY.INTL(L6,1,11)</f>
        <v>46311</v>
      </c>
      <c r="N6" s="28" t="n">
        <f aca="false">WORKDAY.INTL(M6,1,11)</f>
        <v>46312</v>
      </c>
      <c r="O6" s="28" t="n">
        <f aca="false">WORKDAY.INTL(N6,1,11)</f>
        <v>46314</v>
      </c>
      <c r="P6" s="28" t="n">
        <f aca="false">WORKDAY.INTL(O6,1,11)</f>
        <v>46315</v>
      </c>
    </row>
    <row r="7" customFormat="false" ht="15" hidden="false" customHeight="false" outlineLevel="0" collapsed="false">
      <c r="A7" s="3" t="s">
        <v>431</v>
      </c>
      <c r="B7" s="3" t="s">
        <v>25</v>
      </c>
      <c r="C7" s="3" t="n">
        <v>3</v>
      </c>
      <c r="D7" s="28" t="n">
        <f aca="false">DATE(2026,10,6)</f>
        <v>46301</v>
      </c>
      <c r="E7" s="28" t="n">
        <f aca="false">WORKDAY.INTL(D7,1,11)</f>
        <v>46302</v>
      </c>
      <c r="F7" s="28" t="n">
        <f aca="false">WORKDAY.INTL(E7,1,11)</f>
        <v>46303</v>
      </c>
      <c r="G7" s="28" t="n">
        <f aca="false">WORKDAY.INTL(F7,1,11)</f>
        <v>46304</v>
      </c>
      <c r="H7" s="28" t="n">
        <f aca="false">WORKDAY.INTL(G7,1,11)</f>
        <v>46305</v>
      </c>
      <c r="I7" s="28" t="n">
        <f aca="false">WORKDAY.INTL(H7,1,11)</f>
        <v>46307</v>
      </c>
      <c r="J7" s="28" t="n">
        <f aca="false">WORKDAY.INTL(I7,1,11)</f>
        <v>46308</v>
      </c>
      <c r="K7" s="28" t="n">
        <f aca="false">WORKDAY.INTL(J7,1,11)</f>
        <v>46309</v>
      </c>
      <c r="L7" s="28" t="n">
        <f aca="false">WORKDAY.INTL(K7,1,11)</f>
        <v>46310</v>
      </c>
      <c r="M7" s="28" t="n">
        <f aca="false">WORKDAY.INTL(L7,1,11)</f>
        <v>46311</v>
      </c>
      <c r="N7" s="28" t="n">
        <f aca="false">WORKDAY.INTL(M7,1,11)</f>
        <v>46312</v>
      </c>
      <c r="O7" s="28" t="n">
        <f aca="false">WORKDAY.INTL(N7,1,11)</f>
        <v>46314</v>
      </c>
      <c r="P7" s="28" t="n">
        <f aca="false">WORKDAY.INTL(O7,1,11)</f>
        <v>46315</v>
      </c>
    </row>
    <row r="8" customFormat="false" ht="15" hidden="false" customHeight="false" outlineLevel="0" collapsed="false">
      <c r="A8" s="3" t="s">
        <v>430</v>
      </c>
      <c r="B8" s="3" t="s">
        <v>28</v>
      </c>
      <c r="C8" s="3" t="n">
        <v>6</v>
      </c>
      <c r="D8" s="28" t="n">
        <f aca="false">DATE(2026,10,7)</f>
        <v>46302</v>
      </c>
      <c r="E8" s="28" t="n">
        <f aca="false">WORKDAY.INTL(D8,1,11)</f>
        <v>46303</v>
      </c>
      <c r="F8" s="28" t="n">
        <f aca="false">WORKDAY.INTL(E8,1,11)</f>
        <v>46304</v>
      </c>
      <c r="G8" s="28" t="n">
        <f aca="false">WORKDAY.INTL(F8,1,11)</f>
        <v>46305</v>
      </c>
      <c r="H8" s="28" t="n">
        <f aca="false">WORKDAY.INTL(G8,1,11)</f>
        <v>46307</v>
      </c>
      <c r="I8" s="28" t="n">
        <f aca="false">WORKDAY.INTL(H8,1,11)</f>
        <v>46308</v>
      </c>
      <c r="J8" s="28" t="n">
        <f aca="false">WORKDAY.INTL(I8,1,11)</f>
        <v>46309</v>
      </c>
      <c r="K8" s="28" t="n">
        <f aca="false">WORKDAY.INTL(J8,1,11)</f>
        <v>46310</v>
      </c>
      <c r="L8" s="28" t="n">
        <f aca="false">WORKDAY.INTL(K8,1,11)</f>
        <v>46311</v>
      </c>
      <c r="M8" s="28" t="n">
        <f aca="false">WORKDAY.INTL(L8,1,11)</f>
        <v>46312</v>
      </c>
      <c r="N8" s="28" t="n">
        <f aca="false">WORKDAY.INTL(M8,1,11)</f>
        <v>46314</v>
      </c>
      <c r="O8" s="28" t="n">
        <f aca="false">WORKDAY.INTL(N8,1,11)</f>
        <v>46315</v>
      </c>
      <c r="P8" s="28" t="n">
        <f aca="false">WORKDAY.INTL(O8,1,11)</f>
        <v>46316</v>
      </c>
    </row>
    <row r="9" customFormat="false" ht="15" hidden="false" customHeight="false" outlineLevel="0" collapsed="false">
      <c r="A9" s="3" t="s">
        <v>430</v>
      </c>
      <c r="B9" s="3" t="s">
        <v>72</v>
      </c>
      <c r="C9" s="3" t="n">
        <v>2</v>
      </c>
      <c r="D9" s="28" t="n">
        <f aca="false">DATE(2026,10,7)</f>
        <v>46302</v>
      </c>
      <c r="E9" s="28" t="n">
        <f aca="false">WORKDAY.INTL(D9,1,11)</f>
        <v>46303</v>
      </c>
      <c r="F9" s="28" t="n">
        <f aca="false">WORKDAY.INTL(E9,1,11)</f>
        <v>46304</v>
      </c>
      <c r="G9" s="28" t="n">
        <f aca="false">WORKDAY.INTL(F9,1,11)</f>
        <v>46305</v>
      </c>
      <c r="H9" s="28" t="n">
        <f aca="false">WORKDAY.INTL(G9,1,11)</f>
        <v>46307</v>
      </c>
      <c r="I9" s="28" t="n">
        <f aca="false">WORKDAY.INTL(H9,1,11)</f>
        <v>46308</v>
      </c>
      <c r="J9" s="28" t="n">
        <f aca="false">WORKDAY.INTL(I9,1,11)</f>
        <v>46309</v>
      </c>
      <c r="K9" s="28" t="n">
        <f aca="false">WORKDAY.INTL(J9,1,11)</f>
        <v>46310</v>
      </c>
      <c r="L9" s="28" t="n">
        <f aca="false">WORKDAY.INTL(K9,1,11)</f>
        <v>46311</v>
      </c>
      <c r="M9" s="28" t="n">
        <f aca="false">WORKDAY.INTL(L9,1,11)</f>
        <v>46312</v>
      </c>
      <c r="N9" s="28" t="n">
        <f aca="false">WORKDAY.INTL(M9,1,11)</f>
        <v>46314</v>
      </c>
      <c r="O9" s="28" t="n">
        <f aca="false">WORKDAY.INTL(N9,1,11)</f>
        <v>46315</v>
      </c>
      <c r="P9" s="28" t="n">
        <f aca="false">WORKDAY.INTL(O9,1,11)</f>
        <v>46316</v>
      </c>
    </row>
    <row r="10" customFormat="false" ht="15" hidden="false" customHeight="false" outlineLevel="0" collapsed="false">
      <c r="A10" s="3" t="s">
        <v>429</v>
      </c>
      <c r="B10" s="3" t="s">
        <v>72</v>
      </c>
      <c r="C10" s="3" t="n">
        <v>1</v>
      </c>
      <c r="D10" s="28" t="n">
        <f aca="false">DATE(2026,10,8)</f>
        <v>46303</v>
      </c>
      <c r="E10" s="28" t="n">
        <f aca="false">WORKDAY.INTL(D10,1,11)</f>
        <v>46304</v>
      </c>
      <c r="F10" s="28" t="n">
        <f aca="false">WORKDAY.INTL(E10,1,11)</f>
        <v>46305</v>
      </c>
      <c r="G10" s="28" t="n">
        <f aca="false">WORKDAY.INTL(F10,1,11)</f>
        <v>46307</v>
      </c>
      <c r="H10" s="28" t="n">
        <f aca="false">WORKDAY.INTL(G10,1,11)</f>
        <v>46308</v>
      </c>
      <c r="I10" s="28" t="n">
        <f aca="false">WORKDAY.INTL(H10,1,11)</f>
        <v>46309</v>
      </c>
      <c r="J10" s="28" t="n">
        <f aca="false">WORKDAY.INTL(I10,1,11)</f>
        <v>46310</v>
      </c>
      <c r="K10" s="28" t="n">
        <f aca="false">WORKDAY.INTL(J10,1,11)</f>
        <v>46311</v>
      </c>
      <c r="L10" s="28" t="n">
        <f aca="false">WORKDAY.INTL(K10,1,11)</f>
        <v>46312</v>
      </c>
      <c r="M10" s="28" t="n">
        <f aca="false">WORKDAY.INTL(L10,1,11)</f>
        <v>46314</v>
      </c>
      <c r="N10" s="28" t="n">
        <f aca="false">WORKDAY.INTL(M10,1,11)</f>
        <v>46315</v>
      </c>
      <c r="O10" s="28" t="n">
        <f aca="false">WORKDAY.INTL(N10,1,11)</f>
        <v>46316</v>
      </c>
      <c r="P10" s="28" t="n">
        <f aca="false">WORKDAY.INTL(O10,1,11)</f>
        <v>46317</v>
      </c>
    </row>
    <row r="11" customFormat="false" ht="15" hidden="false" customHeight="false" outlineLevel="0" collapsed="false">
      <c r="A11" s="3" t="s">
        <v>429</v>
      </c>
      <c r="B11" s="3" t="s">
        <v>25</v>
      </c>
      <c r="C11" s="3" t="n">
        <v>3</v>
      </c>
      <c r="D11" s="28" t="n">
        <f aca="false">DATE(2026,10,8)</f>
        <v>46303</v>
      </c>
      <c r="E11" s="28" t="n">
        <f aca="false">WORKDAY.INTL(D11,1,11)</f>
        <v>46304</v>
      </c>
      <c r="F11" s="28" t="n">
        <f aca="false">WORKDAY.INTL(E11,1,11)</f>
        <v>46305</v>
      </c>
      <c r="G11" s="28" t="n">
        <f aca="false">WORKDAY.INTL(F11,1,11)</f>
        <v>46307</v>
      </c>
      <c r="H11" s="28" t="n">
        <f aca="false">WORKDAY.INTL(G11,1,11)</f>
        <v>46308</v>
      </c>
      <c r="I11" s="28" t="n">
        <f aca="false">WORKDAY.INTL(H11,1,11)</f>
        <v>46309</v>
      </c>
      <c r="J11" s="28" t="n">
        <f aca="false">WORKDAY.INTL(I11,1,11)</f>
        <v>46310</v>
      </c>
      <c r="K11" s="28" t="n">
        <f aca="false">WORKDAY.INTL(J11,1,11)</f>
        <v>46311</v>
      </c>
      <c r="L11" s="28" t="n">
        <f aca="false">WORKDAY.INTL(K11,1,11)</f>
        <v>46312</v>
      </c>
      <c r="M11" s="28" t="n">
        <f aca="false">WORKDAY.INTL(L11,1,11)</f>
        <v>46314</v>
      </c>
      <c r="N11" s="28" t="n">
        <f aca="false">WORKDAY.INTL(M11,1,11)</f>
        <v>46315</v>
      </c>
      <c r="O11" s="28" t="n">
        <f aca="false">WORKDAY.INTL(N11,1,11)</f>
        <v>46316</v>
      </c>
      <c r="P11" s="28" t="n">
        <f aca="false">WORKDAY.INTL(O11,1,11)</f>
        <v>46317</v>
      </c>
    </row>
    <row r="12" customFormat="false" ht="15" hidden="false" customHeight="false" outlineLevel="0" collapsed="false">
      <c r="A12" s="3" t="s">
        <v>428</v>
      </c>
      <c r="B12" s="3" t="s">
        <v>28</v>
      </c>
      <c r="C12" s="3" t="n">
        <v>6</v>
      </c>
      <c r="D12" s="28" t="n">
        <f aca="false">DATE(2026,10,9)</f>
        <v>46304</v>
      </c>
      <c r="E12" s="28" t="n">
        <f aca="false">WORKDAY.INTL(D12,1,11)</f>
        <v>46305</v>
      </c>
      <c r="F12" s="28" t="n">
        <f aca="false">WORKDAY.INTL(E12,1,11)</f>
        <v>46307</v>
      </c>
      <c r="G12" s="28" t="n">
        <f aca="false">WORKDAY.INTL(F12,1,11)</f>
        <v>46308</v>
      </c>
      <c r="H12" s="28" t="n">
        <f aca="false">WORKDAY.INTL(G12,1,11)</f>
        <v>46309</v>
      </c>
      <c r="I12" s="28" t="n">
        <f aca="false">WORKDAY.INTL(H12,1,11)</f>
        <v>46310</v>
      </c>
      <c r="J12" s="28" t="n">
        <f aca="false">WORKDAY.INTL(I12,1,11)</f>
        <v>46311</v>
      </c>
      <c r="K12" s="28" t="n">
        <f aca="false">WORKDAY.INTL(J12,1,11)</f>
        <v>46312</v>
      </c>
      <c r="L12" s="28" t="n">
        <f aca="false">WORKDAY.INTL(K12,1,11)</f>
        <v>46314</v>
      </c>
      <c r="M12" s="28" t="n">
        <f aca="false">WORKDAY.INTL(L12,1,11)</f>
        <v>46315</v>
      </c>
      <c r="N12" s="28" t="n">
        <f aca="false">WORKDAY.INTL(M12,1,11)</f>
        <v>46316</v>
      </c>
      <c r="O12" s="28" t="n">
        <f aca="false">WORKDAY.INTL(N12,1,11)</f>
        <v>46317</v>
      </c>
      <c r="P12" s="28" t="n">
        <f aca="false">WORKDAY.INTL(O12,1,11)</f>
        <v>46318</v>
      </c>
    </row>
    <row r="13" customFormat="false" ht="15" hidden="false" customHeight="false" outlineLevel="0" collapsed="false">
      <c r="A13" s="3" t="s">
        <v>428</v>
      </c>
      <c r="B13" s="3" t="s">
        <v>72</v>
      </c>
      <c r="C13" s="3" t="n">
        <v>2</v>
      </c>
      <c r="D13" s="28" t="n">
        <f aca="false">DATE(2026,10,9)</f>
        <v>46304</v>
      </c>
      <c r="E13" s="28" t="n">
        <f aca="false">WORKDAY.INTL(D13,1,11)</f>
        <v>46305</v>
      </c>
      <c r="F13" s="28" t="n">
        <f aca="false">WORKDAY.INTL(E13,1,11)</f>
        <v>46307</v>
      </c>
      <c r="G13" s="28" t="n">
        <f aca="false">WORKDAY.INTL(F13,1,11)</f>
        <v>46308</v>
      </c>
      <c r="H13" s="28" t="n">
        <f aca="false">WORKDAY.INTL(G13,1,11)</f>
        <v>46309</v>
      </c>
      <c r="I13" s="28" t="n">
        <f aca="false">WORKDAY.INTL(H13,1,11)</f>
        <v>46310</v>
      </c>
      <c r="J13" s="28" t="n">
        <f aca="false">WORKDAY.INTL(I13,1,11)</f>
        <v>46311</v>
      </c>
      <c r="K13" s="28" t="n">
        <f aca="false">WORKDAY.INTL(J13,1,11)</f>
        <v>46312</v>
      </c>
      <c r="L13" s="28" t="n">
        <f aca="false">WORKDAY.INTL(K13,1,11)</f>
        <v>46314</v>
      </c>
      <c r="M13" s="28" t="n">
        <f aca="false">WORKDAY.INTL(L13,1,11)</f>
        <v>46315</v>
      </c>
      <c r="N13" s="28" t="n">
        <f aca="false">WORKDAY.INTL(M13,1,11)</f>
        <v>46316</v>
      </c>
      <c r="O13" s="28" t="n">
        <f aca="false">WORKDAY.INTL(N13,1,11)</f>
        <v>46317</v>
      </c>
      <c r="P13" s="28" t="n">
        <f aca="false">WORKDAY.INTL(O13,1,11)</f>
        <v>46318</v>
      </c>
    </row>
    <row r="14" customFormat="false" ht="15" hidden="false" customHeight="false" outlineLevel="0" collapsed="false">
      <c r="A14" s="3" t="s">
        <v>427</v>
      </c>
      <c r="B14" s="3" t="s">
        <v>28</v>
      </c>
      <c r="C14" s="3" t="n">
        <v>2</v>
      </c>
      <c r="D14" s="28" t="n">
        <f aca="false">DATE(2026,10,12)</f>
        <v>46307</v>
      </c>
      <c r="E14" s="28" t="n">
        <f aca="false">WORKDAY.INTL(D14,1,11)</f>
        <v>46308</v>
      </c>
      <c r="F14" s="28" t="n">
        <f aca="false">WORKDAY.INTL(E14,1,11)</f>
        <v>46309</v>
      </c>
      <c r="G14" s="28" t="n">
        <f aca="false">WORKDAY.INTL(F14,1,11)</f>
        <v>46310</v>
      </c>
      <c r="H14" s="28" t="n">
        <f aca="false">WORKDAY.INTL(G14,1,11)</f>
        <v>46311</v>
      </c>
      <c r="I14" s="28" t="n">
        <f aca="false">WORKDAY.INTL(H14,1,11)</f>
        <v>46312</v>
      </c>
      <c r="J14" s="28" t="n">
        <f aca="false">WORKDAY.INTL(I14,1,11)</f>
        <v>46314</v>
      </c>
      <c r="K14" s="28" t="n">
        <f aca="false">WORKDAY.INTL(J14,1,11)</f>
        <v>46315</v>
      </c>
      <c r="L14" s="28" t="n">
        <f aca="false">WORKDAY.INTL(K14,1,11)</f>
        <v>46316</v>
      </c>
      <c r="M14" s="28" t="n">
        <f aca="false">WORKDAY.INTL(L14,1,11)</f>
        <v>46317</v>
      </c>
      <c r="N14" s="28" t="n">
        <f aca="false">WORKDAY.INTL(M14,1,11)</f>
        <v>46318</v>
      </c>
      <c r="O14" s="28" t="n">
        <f aca="false">WORKDAY.INTL(N14,1,11)</f>
        <v>46319</v>
      </c>
      <c r="P14" s="28" t="n">
        <f aca="false">WORKDAY.INTL(O14,1,11)</f>
        <v>46321</v>
      </c>
    </row>
    <row r="15" customFormat="false" ht="15" hidden="false" customHeight="false" outlineLevel="0" collapsed="false">
      <c r="A15" s="3" t="s">
        <v>427</v>
      </c>
      <c r="B15" s="3" t="s">
        <v>72</v>
      </c>
      <c r="C15" s="3" t="n">
        <v>1</v>
      </c>
      <c r="D15" s="28" t="n">
        <f aca="false">DATE(2026,10,12)</f>
        <v>46307</v>
      </c>
      <c r="E15" s="28" t="n">
        <f aca="false">WORKDAY.INTL(D15,1,11)</f>
        <v>46308</v>
      </c>
      <c r="F15" s="28" t="n">
        <f aca="false">WORKDAY.INTL(E15,1,11)</f>
        <v>46309</v>
      </c>
      <c r="G15" s="28" t="n">
        <f aca="false">WORKDAY.INTL(F15,1,11)</f>
        <v>46310</v>
      </c>
      <c r="H15" s="28" t="n">
        <f aca="false">WORKDAY.INTL(G15,1,11)</f>
        <v>46311</v>
      </c>
      <c r="I15" s="28" t="n">
        <f aca="false">WORKDAY.INTL(H15,1,11)</f>
        <v>46312</v>
      </c>
      <c r="J15" s="28" t="n">
        <f aca="false">WORKDAY.INTL(I15,1,11)</f>
        <v>46314</v>
      </c>
      <c r="K15" s="28" t="n">
        <f aca="false">WORKDAY.INTL(J15,1,11)</f>
        <v>46315</v>
      </c>
      <c r="L15" s="28" t="n">
        <f aca="false">WORKDAY.INTL(K15,1,11)</f>
        <v>46316</v>
      </c>
      <c r="M15" s="28" t="n">
        <f aca="false">WORKDAY.INTL(L15,1,11)</f>
        <v>46317</v>
      </c>
      <c r="N15" s="28" t="n">
        <f aca="false">WORKDAY.INTL(M15,1,11)</f>
        <v>46318</v>
      </c>
      <c r="O15" s="28" t="n">
        <f aca="false">WORKDAY.INTL(N15,1,11)</f>
        <v>46319</v>
      </c>
      <c r="P15" s="28" t="n">
        <f aca="false">WORKDAY.INTL(O15,1,11)</f>
        <v>46321</v>
      </c>
    </row>
    <row r="16" customFormat="false" ht="15" hidden="false" customHeight="false" outlineLevel="0" collapsed="false">
      <c r="A16" s="3" t="s">
        <v>426</v>
      </c>
      <c r="B16" s="3" t="s">
        <v>28</v>
      </c>
      <c r="C16" s="3" t="n">
        <v>2</v>
      </c>
      <c r="D16" s="28" t="n">
        <f aca="false">DATE(2026,10,13)</f>
        <v>46308</v>
      </c>
      <c r="E16" s="28" t="n">
        <f aca="false">WORKDAY.INTL(D16,1,11)</f>
        <v>46309</v>
      </c>
      <c r="F16" s="28" t="n">
        <f aca="false">WORKDAY.INTL(E16,1,11)</f>
        <v>46310</v>
      </c>
      <c r="G16" s="28" t="n">
        <f aca="false">WORKDAY.INTL(F16,1,11)</f>
        <v>46311</v>
      </c>
      <c r="H16" s="28" t="n">
        <f aca="false">WORKDAY.INTL(G16,1,11)</f>
        <v>46312</v>
      </c>
      <c r="I16" s="28" t="n">
        <f aca="false">WORKDAY.INTL(H16,1,11)</f>
        <v>46314</v>
      </c>
      <c r="J16" s="28" t="n">
        <f aca="false">WORKDAY.INTL(I16,1,11)</f>
        <v>46315</v>
      </c>
      <c r="K16" s="28" t="n">
        <f aca="false">WORKDAY.INTL(J16,1,11)</f>
        <v>46316</v>
      </c>
      <c r="L16" s="28" t="n">
        <f aca="false">WORKDAY.INTL(K16,1,11)</f>
        <v>46317</v>
      </c>
      <c r="M16" s="28" t="n">
        <f aca="false">WORKDAY.INTL(L16,1,11)</f>
        <v>46318</v>
      </c>
      <c r="N16" s="28" t="n">
        <f aca="false">WORKDAY.INTL(M16,1,11)</f>
        <v>46319</v>
      </c>
      <c r="O16" s="28" t="n">
        <f aca="false">WORKDAY.INTL(N16,1,11)</f>
        <v>46321</v>
      </c>
      <c r="P16" s="28" t="n">
        <f aca="false">WORKDAY.INTL(O16,1,11)</f>
        <v>46322</v>
      </c>
    </row>
    <row r="17" customFormat="false" ht="15" hidden="false" customHeight="false" outlineLevel="0" collapsed="false">
      <c r="A17" s="3" t="s">
        <v>426</v>
      </c>
      <c r="B17" s="3" t="s">
        <v>72</v>
      </c>
      <c r="C17" s="3" t="n">
        <v>4</v>
      </c>
      <c r="D17" s="28" t="n">
        <f aca="false">DATE(2026,10,13)</f>
        <v>46308</v>
      </c>
      <c r="E17" s="28" t="n">
        <f aca="false">WORKDAY.INTL(D17,1,11)</f>
        <v>46309</v>
      </c>
      <c r="F17" s="28" t="n">
        <f aca="false">WORKDAY.INTL(E17,1,11)</f>
        <v>46310</v>
      </c>
      <c r="G17" s="28" t="n">
        <f aca="false">WORKDAY.INTL(F17,1,11)</f>
        <v>46311</v>
      </c>
      <c r="H17" s="28" t="n">
        <f aca="false">WORKDAY.INTL(G17,1,11)</f>
        <v>46312</v>
      </c>
      <c r="I17" s="28" t="n">
        <f aca="false">WORKDAY.INTL(H17,1,11)</f>
        <v>46314</v>
      </c>
      <c r="J17" s="28" t="n">
        <f aca="false">WORKDAY.INTL(I17,1,11)</f>
        <v>46315</v>
      </c>
      <c r="K17" s="28" t="n">
        <f aca="false">WORKDAY.INTL(J17,1,11)</f>
        <v>46316</v>
      </c>
      <c r="L17" s="28" t="n">
        <f aca="false">WORKDAY.INTL(K17,1,11)</f>
        <v>46317</v>
      </c>
      <c r="M17" s="28" t="n">
        <f aca="false">WORKDAY.INTL(L17,1,11)</f>
        <v>46318</v>
      </c>
      <c r="N17" s="28" t="n">
        <f aca="false">WORKDAY.INTL(M17,1,11)</f>
        <v>46319</v>
      </c>
      <c r="O17" s="28" t="n">
        <f aca="false">WORKDAY.INTL(N17,1,11)</f>
        <v>46321</v>
      </c>
      <c r="P17" s="28" t="n">
        <f aca="false">WORKDAY.INTL(O17,1,11)</f>
        <v>46322</v>
      </c>
    </row>
    <row r="18" customFormat="false" ht="15" hidden="false" customHeight="false" outlineLevel="0" collapsed="false">
      <c r="A18" s="3" t="s">
        <v>426</v>
      </c>
      <c r="B18" s="3" t="s">
        <v>25</v>
      </c>
      <c r="C18" s="3" t="n">
        <v>1</v>
      </c>
      <c r="D18" s="28" t="n">
        <f aca="false">DATE(2026,10,13)</f>
        <v>46308</v>
      </c>
      <c r="E18" s="28" t="n">
        <f aca="false">WORKDAY.INTL(D18,1,11)</f>
        <v>46309</v>
      </c>
      <c r="F18" s="28" t="n">
        <f aca="false">WORKDAY.INTL(E18,1,11)</f>
        <v>46310</v>
      </c>
      <c r="G18" s="28" t="n">
        <f aca="false">WORKDAY.INTL(F18,1,11)</f>
        <v>46311</v>
      </c>
      <c r="H18" s="28" t="n">
        <f aca="false">WORKDAY.INTL(G18,1,11)</f>
        <v>46312</v>
      </c>
      <c r="I18" s="28" t="n">
        <f aca="false">WORKDAY.INTL(H18,1,11)</f>
        <v>46314</v>
      </c>
      <c r="J18" s="28" t="n">
        <f aca="false">WORKDAY.INTL(I18,1,11)</f>
        <v>46315</v>
      </c>
      <c r="K18" s="28" t="n">
        <f aca="false">WORKDAY.INTL(J18,1,11)</f>
        <v>46316</v>
      </c>
      <c r="L18" s="28" t="n">
        <f aca="false">WORKDAY.INTL(K18,1,11)</f>
        <v>46317</v>
      </c>
      <c r="M18" s="28" t="n">
        <f aca="false">WORKDAY.INTL(L18,1,11)</f>
        <v>46318</v>
      </c>
      <c r="N18" s="28" t="n">
        <f aca="false">WORKDAY.INTL(M18,1,11)</f>
        <v>46319</v>
      </c>
      <c r="O18" s="28" t="n">
        <f aca="false">WORKDAY.INTL(N18,1,11)</f>
        <v>46321</v>
      </c>
      <c r="P18" s="28" t="n">
        <f aca="false">WORKDAY.INTL(O18,1,11)</f>
        <v>46322</v>
      </c>
    </row>
    <row r="19" customFormat="false" ht="15" hidden="false" customHeight="false" outlineLevel="0" collapsed="false">
      <c r="A19" s="3" t="s">
        <v>425</v>
      </c>
      <c r="B19" s="3" t="s">
        <v>28</v>
      </c>
      <c r="C19" s="3" t="n">
        <v>1</v>
      </c>
      <c r="D19" s="28" t="n">
        <f aca="false">DATE(2026,10,14)</f>
        <v>46309</v>
      </c>
      <c r="E19" s="28" t="n">
        <f aca="false">WORKDAY.INTL(D19,1,11)</f>
        <v>46310</v>
      </c>
      <c r="F19" s="28" t="n">
        <f aca="false">WORKDAY.INTL(E19,1,11)</f>
        <v>46311</v>
      </c>
      <c r="G19" s="28" t="n">
        <f aca="false">WORKDAY.INTL(F19,1,11)</f>
        <v>46312</v>
      </c>
      <c r="H19" s="28" t="n">
        <f aca="false">WORKDAY.INTL(G19,1,11)</f>
        <v>46314</v>
      </c>
      <c r="I19" s="28" t="n">
        <f aca="false">WORKDAY.INTL(H19,1,11)</f>
        <v>46315</v>
      </c>
      <c r="J19" s="28" t="n">
        <f aca="false">WORKDAY.INTL(I19,1,11)</f>
        <v>46316</v>
      </c>
      <c r="K19" s="28" t="n">
        <f aca="false">WORKDAY.INTL(J19,1,11)</f>
        <v>46317</v>
      </c>
      <c r="L19" s="28" t="n">
        <f aca="false">WORKDAY.INTL(K19,1,11)</f>
        <v>46318</v>
      </c>
      <c r="M19" s="28" t="n">
        <f aca="false">WORKDAY.INTL(L19,1,11)</f>
        <v>46319</v>
      </c>
      <c r="N19" s="28" t="n">
        <f aca="false">WORKDAY.INTL(M19,1,11)</f>
        <v>46321</v>
      </c>
      <c r="O19" s="28" t="n">
        <f aca="false">WORKDAY.INTL(N19,1,11)</f>
        <v>46322</v>
      </c>
      <c r="P19" s="28" t="n">
        <f aca="false">WORKDAY.INTL(O19,1,11)</f>
        <v>46323</v>
      </c>
    </row>
    <row r="20" customFormat="false" ht="15" hidden="false" customHeight="false" outlineLevel="0" collapsed="false">
      <c r="A20" s="3" t="s">
        <v>424</v>
      </c>
      <c r="B20" s="3" t="s">
        <v>28</v>
      </c>
      <c r="C20" s="3" t="n">
        <v>4</v>
      </c>
      <c r="D20" s="28" t="n">
        <f aca="false">DATE(2026,10,15)</f>
        <v>46310</v>
      </c>
      <c r="E20" s="28" t="n">
        <f aca="false">WORKDAY.INTL(D20,1,11)</f>
        <v>46311</v>
      </c>
      <c r="F20" s="28" t="n">
        <f aca="false">WORKDAY.INTL(E20,1,11)</f>
        <v>46312</v>
      </c>
      <c r="G20" s="28" t="n">
        <f aca="false">WORKDAY.INTL(F20,1,11)</f>
        <v>46314</v>
      </c>
      <c r="H20" s="28" t="n">
        <f aca="false">WORKDAY.INTL(G20,1,11)</f>
        <v>46315</v>
      </c>
      <c r="I20" s="28" t="n">
        <f aca="false">WORKDAY.INTL(H20,1,11)</f>
        <v>46316</v>
      </c>
      <c r="J20" s="28" t="n">
        <f aca="false">WORKDAY.INTL(I20,1,11)</f>
        <v>46317</v>
      </c>
      <c r="K20" s="28" t="n">
        <f aca="false">WORKDAY.INTL(J20,1,11)</f>
        <v>46318</v>
      </c>
      <c r="L20" s="28" t="n">
        <f aca="false">WORKDAY.INTL(K20,1,11)</f>
        <v>46319</v>
      </c>
      <c r="M20" s="28" t="n">
        <f aca="false">WORKDAY.INTL(L20,1,11)</f>
        <v>46321</v>
      </c>
      <c r="N20" s="28" t="n">
        <f aca="false">WORKDAY.INTL(M20,1,11)</f>
        <v>46322</v>
      </c>
      <c r="O20" s="28" t="n">
        <f aca="false">WORKDAY.INTL(N20,1,11)</f>
        <v>46323</v>
      </c>
      <c r="P20" s="28" t="n">
        <f aca="false">WORKDAY.INTL(O20,1,11)</f>
        <v>46324</v>
      </c>
    </row>
    <row r="21" customFormat="false" ht="15" hidden="false" customHeight="false" outlineLevel="0" collapsed="false">
      <c r="A21" s="3" t="s">
        <v>421</v>
      </c>
      <c r="B21" s="3" t="s">
        <v>28</v>
      </c>
      <c r="C21" s="3" t="n">
        <v>1</v>
      </c>
      <c r="D21" s="28" t="n">
        <f aca="false">DATE(2026,10,16)</f>
        <v>46311</v>
      </c>
      <c r="E21" s="28" t="n">
        <f aca="false">WORKDAY.INTL(D21,1,11)</f>
        <v>46312</v>
      </c>
      <c r="F21" s="28" t="n">
        <f aca="false">WORKDAY.INTL(E21,1,11)</f>
        <v>46314</v>
      </c>
      <c r="G21" s="28" t="n">
        <f aca="false">WORKDAY.INTL(F21,1,11)</f>
        <v>46315</v>
      </c>
      <c r="H21" s="28" t="n">
        <f aca="false">WORKDAY.INTL(G21,1,11)</f>
        <v>46316</v>
      </c>
      <c r="I21" s="28" t="n">
        <f aca="false">WORKDAY.INTL(H21,1,11)</f>
        <v>46317</v>
      </c>
      <c r="J21" s="28" t="n">
        <f aca="false">WORKDAY.INTL(I21,1,11)</f>
        <v>46318</v>
      </c>
      <c r="K21" s="28" t="n">
        <f aca="false">WORKDAY.INTL(J21,1,11)</f>
        <v>46319</v>
      </c>
      <c r="L21" s="28" t="n">
        <f aca="false">WORKDAY.INTL(K21,1,11)</f>
        <v>46321</v>
      </c>
      <c r="M21" s="28" t="n">
        <f aca="false">WORKDAY.INTL(L21,1,11)</f>
        <v>46322</v>
      </c>
      <c r="N21" s="28" t="n">
        <f aca="false">WORKDAY.INTL(M21,1,11)</f>
        <v>46323</v>
      </c>
      <c r="O21" s="28" t="n">
        <f aca="false">WORKDAY.INTL(N21,1,11)</f>
        <v>46324</v>
      </c>
      <c r="P21" s="28" t="n">
        <f aca="false">WORKDAY.INTL(O21,1,11)</f>
        <v>46325</v>
      </c>
    </row>
    <row r="22" customFormat="false" ht="15" hidden="false" customHeight="false" outlineLevel="0" collapsed="false">
      <c r="A22" s="3" t="s">
        <v>419</v>
      </c>
      <c r="B22" s="3" t="s">
        <v>28</v>
      </c>
      <c r="C22" s="3" t="n">
        <v>2</v>
      </c>
      <c r="D22" s="28" t="n">
        <f aca="false">DATE(2026,10,19)</f>
        <v>46314</v>
      </c>
      <c r="E22" s="28" t="n">
        <f aca="false">WORKDAY.INTL(D22,1,11)</f>
        <v>46315</v>
      </c>
      <c r="F22" s="28" t="n">
        <f aca="false">WORKDAY.INTL(E22,1,11)</f>
        <v>46316</v>
      </c>
      <c r="G22" s="28" t="n">
        <f aca="false">WORKDAY.INTL(F22,1,11)</f>
        <v>46317</v>
      </c>
      <c r="H22" s="28" t="n">
        <f aca="false">WORKDAY.INTL(G22,1,11)</f>
        <v>46318</v>
      </c>
      <c r="I22" s="28" t="n">
        <f aca="false">WORKDAY.INTL(H22,1,11)</f>
        <v>46319</v>
      </c>
      <c r="J22" s="28" t="n">
        <f aca="false">WORKDAY.INTL(I22,1,11)</f>
        <v>46321</v>
      </c>
      <c r="K22" s="28" t="n">
        <f aca="false">WORKDAY.INTL(J22,1,11)</f>
        <v>46322</v>
      </c>
      <c r="L22" s="28" t="n">
        <f aca="false">WORKDAY.INTL(K22,1,11)</f>
        <v>46323</v>
      </c>
      <c r="M22" s="28" t="n">
        <f aca="false">WORKDAY.INTL(L22,1,11)</f>
        <v>46324</v>
      </c>
      <c r="N22" s="28" t="n">
        <f aca="false">WORKDAY.INTL(M22,1,11)</f>
        <v>46325</v>
      </c>
      <c r="O22" s="28" t="n">
        <f aca="false">WORKDAY.INTL(N22,1,11)</f>
        <v>46326</v>
      </c>
      <c r="P22" s="28" t="n">
        <f aca="false">WORKDAY.INTL(O22,1,11)</f>
        <v>46328</v>
      </c>
    </row>
    <row r="23" customFormat="false" ht="15" hidden="false" customHeight="false" outlineLevel="0" collapsed="false">
      <c r="A23" s="3" t="s">
        <v>419</v>
      </c>
      <c r="B23" s="3" t="s">
        <v>25</v>
      </c>
      <c r="C23" s="3" t="n">
        <v>1</v>
      </c>
      <c r="D23" s="28" t="n">
        <f aca="false">DATE(2026,10,19)</f>
        <v>46314</v>
      </c>
      <c r="E23" s="28" t="n">
        <f aca="false">WORKDAY.INTL(D23,1,11)</f>
        <v>46315</v>
      </c>
      <c r="F23" s="28" t="n">
        <f aca="false">WORKDAY.INTL(E23,1,11)</f>
        <v>46316</v>
      </c>
      <c r="G23" s="28" t="n">
        <f aca="false">WORKDAY.INTL(F23,1,11)</f>
        <v>46317</v>
      </c>
      <c r="H23" s="28" t="n">
        <f aca="false">WORKDAY.INTL(G23,1,11)</f>
        <v>46318</v>
      </c>
      <c r="I23" s="28" t="n">
        <f aca="false">WORKDAY.INTL(H23,1,11)</f>
        <v>46319</v>
      </c>
      <c r="J23" s="28" t="n">
        <f aca="false">WORKDAY.INTL(I23,1,11)</f>
        <v>46321</v>
      </c>
      <c r="K23" s="28" t="n">
        <f aca="false">WORKDAY.INTL(J23,1,11)</f>
        <v>46322</v>
      </c>
      <c r="L23" s="28" t="n">
        <f aca="false">WORKDAY.INTL(K23,1,11)</f>
        <v>46323</v>
      </c>
      <c r="M23" s="28" t="n">
        <f aca="false">WORKDAY.INTL(L23,1,11)</f>
        <v>46324</v>
      </c>
      <c r="N23" s="28" t="n">
        <f aca="false">WORKDAY.INTL(M23,1,11)</f>
        <v>46325</v>
      </c>
      <c r="O23" s="28" t="n">
        <f aca="false">WORKDAY.INTL(N23,1,11)</f>
        <v>46326</v>
      </c>
      <c r="P23" s="28" t="n">
        <f aca="false">WORKDAY.INTL(O23,1,11)</f>
        <v>46328</v>
      </c>
    </row>
    <row r="24" customFormat="false" ht="15" hidden="false" customHeight="false" outlineLevel="0" collapsed="false">
      <c r="A24" s="3" t="s">
        <v>417</v>
      </c>
      <c r="B24" s="3" t="s">
        <v>28</v>
      </c>
      <c r="C24" s="3" t="n">
        <v>4</v>
      </c>
      <c r="D24" s="28" t="n">
        <f aca="false">DATE(2026,10,20)</f>
        <v>46315</v>
      </c>
      <c r="E24" s="28" t="n">
        <f aca="false">WORKDAY.INTL(D24,1,11)</f>
        <v>46316</v>
      </c>
      <c r="F24" s="28" t="n">
        <f aca="false">WORKDAY.INTL(E24,1,11)</f>
        <v>46317</v>
      </c>
      <c r="G24" s="28" t="n">
        <f aca="false">WORKDAY.INTL(F24,1,11)</f>
        <v>46318</v>
      </c>
      <c r="H24" s="28" t="n">
        <f aca="false">WORKDAY.INTL(G24,1,11)</f>
        <v>46319</v>
      </c>
      <c r="I24" s="28" t="n">
        <f aca="false">WORKDAY.INTL(H24,1,11)</f>
        <v>46321</v>
      </c>
      <c r="J24" s="28" t="n">
        <f aca="false">WORKDAY.INTL(I24,1,11)</f>
        <v>46322</v>
      </c>
      <c r="K24" s="28" t="n">
        <f aca="false">WORKDAY.INTL(J24,1,11)</f>
        <v>46323</v>
      </c>
      <c r="L24" s="28" t="n">
        <f aca="false">WORKDAY.INTL(K24,1,11)</f>
        <v>46324</v>
      </c>
      <c r="M24" s="28" t="n">
        <f aca="false">WORKDAY.INTL(L24,1,11)</f>
        <v>46325</v>
      </c>
      <c r="N24" s="28" t="n">
        <f aca="false">WORKDAY.INTL(M24,1,11)</f>
        <v>46326</v>
      </c>
      <c r="O24" s="28" t="n">
        <f aca="false">WORKDAY.INTL(N24,1,11)</f>
        <v>46328</v>
      </c>
      <c r="P24" s="28" t="n">
        <f aca="false">WORKDAY.INTL(O24,1,11)</f>
        <v>46329</v>
      </c>
    </row>
    <row r="25" customFormat="false" ht="15" hidden="false" customHeight="false" outlineLevel="0" collapsed="false">
      <c r="A25" s="3" t="s">
        <v>417</v>
      </c>
      <c r="B25" s="3" t="s">
        <v>25</v>
      </c>
      <c r="C25" s="3" t="n">
        <v>2</v>
      </c>
      <c r="D25" s="28" t="n">
        <f aca="false">DATE(2026,10,20)</f>
        <v>46315</v>
      </c>
      <c r="E25" s="28" t="n">
        <f aca="false">WORKDAY.INTL(D25,1,11)</f>
        <v>46316</v>
      </c>
      <c r="F25" s="28" t="n">
        <f aca="false">WORKDAY.INTL(E25,1,11)</f>
        <v>46317</v>
      </c>
      <c r="G25" s="28" t="n">
        <f aca="false">WORKDAY.INTL(F25,1,11)</f>
        <v>46318</v>
      </c>
      <c r="H25" s="28" t="n">
        <f aca="false">WORKDAY.INTL(G25,1,11)</f>
        <v>46319</v>
      </c>
      <c r="I25" s="28" t="n">
        <f aca="false">WORKDAY.INTL(H25,1,11)</f>
        <v>46321</v>
      </c>
      <c r="J25" s="28" t="n">
        <f aca="false">WORKDAY.INTL(I25,1,11)</f>
        <v>46322</v>
      </c>
      <c r="K25" s="28" t="n">
        <f aca="false">WORKDAY.INTL(J25,1,11)</f>
        <v>46323</v>
      </c>
      <c r="L25" s="28" t="n">
        <f aca="false">WORKDAY.INTL(K25,1,11)</f>
        <v>46324</v>
      </c>
      <c r="M25" s="28" t="n">
        <f aca="false">WORKDAY.INTL(L25,1,11)</f>
        <v>46325</v>
      </c>
      <c r="N25" s="28" t="n">
        <f aca="false">WORKDAY.INTL(M25,1,11)</f>
        <v>46326</v>
      </c>
      <c r="O25" s="28" t="n">
        <f aca="false">WORKDAY.INTL(N25,1,11)</f>
        <v>46328</v>
      </c>
      <c r="P25" s="28" t="n">
        <f aca="false">WORKDAY.INTL(O25,1,11)</f>
        <v>46329</v>
      </c>
    </row>
    <row r="26" customFormat="false" ht="15" hidden="false" customHeight="false" outlineLevel="0" collapsed="false">
      <c r="A26" s="3" t="s">
        <v>415</v>
      </c>
      <c r="B26" s="3" t="s">
        <v>72</v>
      </c>
      <c r="C26" s="3" t="n">
        <v>1</v>
      </c>
      <c r="D26" s="28" t="n">
        <f aca="false">DATE(2026,10,21)</f>
        <v>46316</v>
      </c>
      <c r="E26" s="28" t="n">
        <f aca="false">WORKDAY.INTL(D26,1,11)</f>
        <v>46317</v>
      </c>
      <c r="F26" s="28" t="n">
        <f aca="false">WORKDAY.INTL(E26,1,11)</f>
        <v>46318</v>
      </c>
      <c r="G26" s="28" t="n">
        <f aca="false">WORKDAY.INTL(F26,1,11)</f>
        <v>46319</v>
      </c>
      <c r="H26" s="28" t="n">
        <f aca="false">WORKDAY.INTL(G26,1,11)</f>
        <v>46321</v>
      </c>
      <c r="I26" s="28" t="n">
        <f aca="false">WORKDAY.INTL(H26,1,11)</f>
        <v>46322</v>
      </c>
      <c r="J26" s="28" t="n">
        <f aca="false">WORKDAY.INTL(I26,1,11)</f>
        <v>46323</v>
      </c>
      <c r="K26" s="28" t="n">
        <f aca="false">WORKDAY.INTL(J26,1,11)</f>
        <v>46324</v>
      </c>
      <c r="L26" s="28" t="n">
        <f aca="false">WORKDAY.INTL(K26,1,11)</f>
        <v>46325</v>
      </c>
      <c r="M26" s="28" t="n">
        <f aca="false">WORKDAY.INTL(L26,1,11)</f>
        <v>46326</v>
      </c>
      <c r="N26" s="28" t="n">
        <f aca="false">WORKDAY.INTL(M26,1,11)</f>
        <v>46328</v>
      </c>
      <c r="O26" s="28" t="n">
        <f aca="false">WORKDAY.INTL(N26,1,11)</f>
        <v>46329</v>
      </c>
      <c r="P26" s="28" t="n">
        <f aca="false">WORKDAY.INTL(O26,1,11)</f>
        <v>46330</v>
      </c>
    </row>
    <row r="27" customFormat="false" ht="15" hidden="false" customHeight="false" outlineLevel="0" collapsed="false">
      <c r="A27" s="3" t="s">
        <v>415</v>
      </c>
      <c r="B27" s="3" t="s">
        <v>25</v>
      </c>
      <c r="C27" s="3" t="n">
        <v>2</v>
      </c>
      <c r="D27" s="28" t="n">
        <f aca="false">DATE(2026,10,21)</f>
        <v>46316</v>
      </c>
      <c r="E27" s="28" t="n">
        <f aca="false">WORKDAY.INTL(D27,1,11)</f>
        <v>46317</v>
      </c>
      <c r="F27" s="28" t="n">
        <f aca="false">WORKDAY.INTL(E27,1,11)</f>
        <v>46318</v>
      </c>
      <c r="G27" s="28" t="n">
        <f aca="false">WORKDAY.INTL(F27,1,11)</f>
        <v>46319</v>
      </c>
      <c r="H27" s="28" t="n">
        <f aca="false">WORKDAY.INTL(G27,1,11)</f>
        <v>46321</v>
      </c>
      <c r="I27" s="28" t="n">
        <f aca="false">WORKDAY.INTL(H27,1,11)</f>
        <v>46322</v>
      </c>
      <c r="J27" s="28" t="n">
        <f aca="false">WORKDAY.INTL(I27,1,11)</f>
        <v>46323</v>
      </c>
      <c r="K27" s="28" t="n">
        <f aca="false">WORKDAY.INTL(J27,1,11)</f>
        <v>46324</v>
      </c>
      <c r="L27" s="28" t="n">
        <f aca="false">WORKDAY.INTL(K27,1,11)</f>
        <v>46325</v>
      </c>
      <c r="M27" s="28" t="n">
        <f aca="false">WORKDAY.INTL(L27,1,11)</f>
        <v>46326</v>
      </c>
      <c r="N27" s="28" t="n">
        <f aca="false">WORKDAY.INTL(M27,1,11)</f>
        <v>46328</v>
      </c>
      <c r="O27" s="28" t="n">
        <f aca="false">WORKDAY.INTL(N27,1,11)</f>
        <v>46329</v>
      </c>
      <c r="P27" s="28" t="n">
        <f aca="false">WORKDAY.INTL(O27,1,11)</f>
        <v>46330</v>
      </c>
    </row>
    <row r="28" customFormat="false" ht="15" hidden="false" customHeight="false" outlineLevel="0" collapsed="false">
      <c r="A28" s="3" t="s">
        <v>415</v>
      </c>
      <c r="B28" s="3" t="s">
        <v>28</v>
      </c>
      <c r="C28" s="3" t="n">
        <v>2</v>
      </c>
      <c r="D28" s="28" t="n">
        <f aca="false">DATE(2026,10,21)</f>
        <v>46316</v>
      </c>
      <c r="E28" s="28" t="n">
        <f aca="false">WORKDAY.INTL(D28,1,11)</f>
        <v>46317</v>
      </c>
      <c r="F28" s="28" t="n">
        <f aca="false">WORKDAY.INTL(E28,1,11)</f>
        <v>46318</v>
      </c>
      <c r="G28" s="28" t="n">
        <f aca="false">WORKDAY.INTL(F28,1,11)</f>
        <v>46319</v>
      </c>
      <c r="H28" s="28" t="n">
        <f aca="false">WORKDAY.INTL(G28,1,11)</f>
        <v>46321</v>
      </c>
      <c r="I28" s="28" t="n">
        <f aca="false">WORKDAY.INTL(H28,1,11)</f>
        <v>46322</v>
      </c>
      <c r="J28" s="28" t="n">
        <f aca="false">WORKDAY.INTL(I28,1,11)</f>
        <v>46323</v>
      </c>
      <c r="K28" s="28" t="n">
        <f aca="false">WORKDAY.INTL(J28,1,11)</f>
        <v>46324</v>
      </c>
      <c r="L28" s="28" t="n">
        <f aca="false">WORKDAY.INTL(K28,1,11)</f>
        <v>46325</v>
      </c>
      <c r="M28" s="28" t="n">
        <f aca="false">WORKDAY.INTL(L28,1,11)</f>
        <v>46326</v>
      </c>
      <c r="N28" s="28" t="n">
        <f aca="false">WORKDAY.INTL(M28,1,11)</f>
        <v>46328</v>
      </c>
      <c r="O28" s="28" t="n">
        <f aca="false">WORKDAY.INTL(N28,1,11)</f>
        <v>46329</v>
      </c>
      <c r="P28" s="28" t="n">
        <f aca="false">WORKDAY.INTL(O28,1,11)</f>
        <v>46330</v>
      </c>
    </row>
    <row r="29" customFormat="false" ht="15" hidden="false" customHeight="false" outlineLevel="0" collapsed="false">
      <c r="A29" s="3" t="s">
        <v>412</v>
      </c>
      <c r="B29" s="3" t="s">
        <v>72</v>
      </c>
      <c r="C29" s="3" t="n">
        <v>3</v>
      </c>
      <c r="D29" s="28" t="n">
        <f aca="false">DATE(2026,10,22)</f>
        <v>46317</v>
      </c>
      <c r="E29" s="28" t="n">
        <f aca="false">WORKDAY.INTL(D29,1,11)</f>
        <v>46318</v>
      </c>
      <c r="F29" s="28" t="n">
        <f aca="false">WORKDAY.INTL(E29,1,11)</f>
        <v>46319</v>
      </c>
      <c r="G29" s="28" t="n">
        <f aca="false">WORKDAY.INTL(F29,1,11)</f>
        <v>46321</v>
      </c>
      <c r="H29" s="28" t="n">
        <f aca="false">WORKDAY.INTL(G29,1,11)</f>
        <v>46322</v>
      </c>
      <c r="I29" s="28" t="n">
        <f aca="false">WORKDAY.INTL(H29,1,11)</f>
        <v>46323</v>
      </c>
      <c r="J29" s="28" t="n">
        <f aca="false">WORKDAY.INTL(I29,1,11)</f>
        <v>46324</v>
      </c>
      <c r="K29" s="28" t="n">
        <f aca="false">WORKDAY.INTL(J29,1,11)</f>
        <v>46325</v>
      </c>
      <c r="L29" s="28" t="n">
        <f aca="false">WORKDAY.INTL(K29,1,11)</f>
        <v>46326</v>
      </c>
      <c r="M29" s="28" t="n">
        <f aca="false">WORKDAY.INTL(L29,1,11)</f>
        <v>46328</v>
      </c>
      <c r="N29" s="28" t="n">
        <f aca="false">WORKDAY.INTL(M29,1,11)</f>
        <v>46329</v>
      </c>
      <c r="O29" s="28" t="n">
        <f aca="false">WORKDAY.INTL(N29,1,11)</f>
        <v>46330</v>
      </c>
      <c r="P29" s="28" t="n">
        <f aca="false">WORKDAY.INTL(O29,1,11)</f>
        <v>46331</v>
      </c>
    </row>
    <row r="30" customFormat="false" ht="15" hidden="false" customHeight="false" outlineLevel="0" collapsed="false">
      <c r="A30" s="3" t="s">
        <v>412</v>
      </c>
      <c r="B30" s="3" t="s">
        <v>25</v>
      </c>
      <c r="C30" s="3" t="n">
        <v>1</v>
      </c>
      <c r="D30" s="28" t="n">
        <f aca="false">DATE(2026,10,22)</f>
        <v>46317</v>
      </c>
      <c r="E30" s="28" t="n">
        <f aca="false">WORKDAY.INTL(D30,1,11)</f>
        <v>46318</v>
      </c>
      <c r="F30" s="28" t="n">
        <f aca="false">WORKDAY.INTL(E30,1,11)</f>
        <v>46319</v>
      </c>
      <c r="G30" s="28" t="n">
        <f aca="false">WORKDAY.INTL(F30,1,11)</f>
        <v>46321</v>
      </c>
      <c r="H30" s="28" t="n">
        <f aca="false">WORKDAY.INTL(G30,1,11)</f>
        <v>46322</v>
      </c>
      <c r="I30" s="28" t="n">
        <f aca="false">WORKDAY.INTL(H30,1,11)</f>
        <v>46323</v>
      </c>
      <c r="J30" s="28" t="n">
        <f aca="false">WORKDAY.INTL(I30,1,11)</f>
        <v>46324</v>
      </c>
      <c r="K30" s="28" t="n">
        <f aca="false">WORKDAY.INTL(J30,1,11)</f>
        <v>46325</v>
      </c>
      <c r="L30" s="28" t="n">
        <f aca="false">WORKDAY.INTL(K30,1,11)</f>
        <v>46326</v>
      </c>
      <c r="M30" s="28" t="n">
        <f aca="false">WORKDAY.INTL(L30,1,11)</f>
        <v>46328</v>
      </c>
      <c r="N30" s="28" t="n">
        <f aca="false">WORKDAY.INTL(M30,1,11)</f>
        <v>46329</v>
      </c>
      <c r="O30" s="28" t="n">
        <f aca="false">WORKDAY.INTL(N30,1,11)</f>
        <v>46330</v>
      </c>
      <c r="P30" s="28" t="n">
        <f aca="false">WORKDAY.INTL(O30,1,11)</f>
        <v>46331</v>
      </c>
    </row>
    <row r="31" customFormat="false" ht="15" hidden="false" customHeight="false" outlineLevel="0" collapsed="false">
      <c r="A31" s="3" t="s">
        <v>412</v>
      </c>
      <c r="B31" s="3" t="s">
        <v>28</v>
      </c>
      <c r="C31" s="3" t="n">
        <v>2</v>
      </c>
      <c r="D31" s="28" t="n">
        <f aca="false">DATE(2026,10,22)</f>
        <v>46317</v>
      </c>
      <c r="E31" s="28" t="n">
        <f aca="false">WORKDAY.INTL(D31,1,11)</f>
        <v>46318</v>
      </c>
      <c r="F31" s="28" t="n">
        <f aca="false">WORKDAY.INTL(E31,1,11)</f>
        <v>46319</v>
      </c>
      <c r="G31" s="28" t="n">
        <f aca="false">WORKDAY.INTL(F31,1,11)</f>
        <v>46321</v>
      </c>
      <c r="H31" s="28" t="n">
        <f aca="false">WORKDAY.INTL(G31,1,11)</f>
        <v>46322</v>
      </c>
      <c r="I31" s="28" t="n">
        <f aca="false">WORKDAY.INTL(H31,1,11)</f>
        <v>46323</v>
      </c>
      <c r="J31" s="28" t="n">
        <f aca="false">WORKDAY.INTL(I31,1,11)</f>
        <v>46324</v>
      </c>
      <c r="K31" s="28" t="n">
        <f aca="false">WORKDAY.INTL(J31,1,11)</f>
        <v>46325</v>
      </c>
      <c r="L31" s="28" t="n">
        <f aca="false">WORKDAY.INTL(K31,1,11)</f>
        <v>46326</v>
      </c>
      <c r="M31" s="28" t="n">
        <f aca="false">WORKDAY.INTL(L31,1,11)</f>
        <v>46328</v>
      </c>
      <c r="N31" s="28" t="n">
        <f aca="false">WORKDAY.INTL(M31,1,11)</f>
        <v>46329</v>
      </c>
      <c r="O31" s="28" t="n">
        <f aca="false">WORKDAY.INTL(N31,1,11)</f>
        <v>46330</v>
      </c>
      <c r="P31" s="28" t="n">
        <f aca="false">WORKDAY.INTL(O31,1,11)</f>
        <v>46331</v>
      </c>
    </row>
    <row r="32" customFormat="false" ht="15" hidden="false" customHeight="false" outlineLevel="0" collapsed="false">
      <c r="A32" s="3" t="s">
        <v>409</v>
      </c>
      <c r="B32" s="3" t="s">
        <v>72</v>
      </c>
      <c r="C32" s="3" t="n">
        <v>1</v>
      </c>
      <c r="D32" s="28" t="n">
        <f aca="false">DATE(2026,10,23)</f>
        <v>46318</v>
      </c>
      <c r="E32" s="28" t="n">
        <f aca="false">WORKDAY.INTL(D32,1,11)</f>
        <v>46319</v>
      </c>
      <c r="F32" s="28" t="n">
        <f aca="false">WORKDAY.INTL(E32,1,11)</f>
        <v>46321</v>
      </c>
      <c r="G32" s="28" t="n">
        <f aca="false">WORKDAY.INTL(F32,1,11)</f>
        <v>46322</v>
      </c>
      <c r="H32" s="28" t="n">
        <f aca="false">WORKDAY.INTL(G32,1,11)</f>
        <v>46323</v>
      </c>
      <c r="I32" s="28" t="n">
        <f aca="false">WORKDAY.INTL(H32,1,11)</f>
        <v>46324</v>
      </c>
      <c r="J32" s="28" t="n">
        <f aca="false">WORKDAY.INTL(I32,1,11)</f>
        <v>46325</v>
      </c>
      <c r="K32" s="28" t="n">
        <f aca="false">WORKDAY.INTL(J32,1,11)</f>
        <v>46326</v>
      </c>
      <c r="L32" s="28" t="n">
        <f aca="false">WORKDAY.INTL(K32,1,11)</f>
        <v>46328</v>
      </c>
      <c r="M32" s="28" t="n">
        <f aca="false">WORKDAY.INTL(L32,1,11)</f>
        <v>46329</v>
      </c>
      <c r="N32" s="28" t="n">
        <f aca="false">WORKDAY.INTL(M32,1,11)</f>
        <v>46330</v>
      </c>
      <c r="O32" s="28" t="n">
        <f aca="false">WORKDAY.INTL(N32,1,11)</f>
        <v>46331</v>
      </c>
      <c r="P32" s="28" t="n">
        <f aca="false">WORKDAY.INTL(O32,1,11)</f>
        <v>46332</v>
      </c>
    </row>
    <row r="33" customFormat="false" ht="15" hidden="false" customHeight="false" outlineLevel="0" collapsed="false">
      <c r="A33" s="3" t="s">
        <v>407</v>
      </c>
      <c r="B33" s="3" t="s">
        <v>28</v>
      </c>
      <c r="C33" s="3" t="n">
        <v>2</v>
      </c>
      <c r="D33" s="28" t="n">
        <f aca="false">DATE(2026,10,26)</f>
        <v>46321</v>
      </c>
      <c r="E33" s="28" t="n">
        <f aca="false">WORKDAY.INTL(D33,1,11)</f>
        <v>46322</v>
      </c>
      <c r="F33" s="28" t="n">
        <f aca="false">WORKDAY.INTL(E33,1,11)</f>
        <v>46323</v>
      </c>
      <c r="G33" s="28" t="n">
        <f aca="false">WORKDAY.INTL(F33,1,11)</f>
        <v>46324</v>
      </c>
      <c r="H33" s="28" t="n">
        <f aca="false">WORKDAY.INTL(G33,1,11)</f>
        <v>46325</v>
      </c>
      <c r="I33" s="28" t="n">
        <f aca="false">WORKDAY.INTL(H33,1,11)</f>
        <v>46326</v>
      </c>
      <c r="J33" s="28" t="n">
        <f aca="false">WORKDAY.INTL(I33,1,11)</f>
        <v>46328</v>
      </c>
      <c r="K33" s="28" t="n">
        <f aca="false">WORKDAY.INTL(J33,1,11)</f>
        <v>46329</v>
      </c>
      <c r="L33" s="28" t="n">
        <f aca="false">WORKDAY.INTL(K33,1,11)</f>
        <v>46330</v>
      </c>
      <c r="M33" s="28" t="n">
        <f aca="false">WORKDAY.INTL(L33,1,11)</f>
        <v>46331</v>
      </c>
      <c r="N33" s="28" t="n">
        <f aca="false">WORKDAY.INTL(M33,1,11)</f>
        <v>46332</v>
      </c>
      <c r="O33" s="28" t="n">
        <f aca="false">WORKDAY.INTL(N33,1,11)</f>
        <v>46333</v>
      </c>
      <c r="P33" s="28" t="n">
        <f aca="false">WORKDAY.INTL(O33,1,11)</f>
        <v>46335</v>
      </c>
    </row>
    <row r="34" customFormat="false" ht="15" hidden="false" customHeight="false" outlineLevel="0" collapsed="false">
      <c r="A34" s="3" t="s">
        <v>405</v>
      </c>
      <c r="B34" s="3" t="s">
        <v>28</v>
      </c>
      <c r="C34" s="3" t="n">
        <v>4</v>
      </c>
      <c r="D34" s="28" t="n">
        <f aca="false">DATE(2026,10,27)</f>
        <v>46322</v>
      </c>
      <c r="E34" s="28" t="n">
        <f aca="false">WORKDAY.INTL(D34,1,11)</f>
        <v>46323</v>
      </c>
      <c r="F34" s="28" t="n">
        <f aca="false">WORKDAY.INTL(E34,1,11)</f>
        <v>46324</v>
      </c>
      <c r="G34" s="28" t="n">
        <f aca="false">WORKDAY.INTL(F34,1,11)</f>
        <v>46325</v>
      </c>
      <c r="H34" s="28" t="n">
        <f aca="false">WORKDAY.INTL(G34,1,11)</f>
        <v>46326</v>
      </c>
      <c r="I34" s="28" t="n">
        <f aca="false">WORKDAY.INTL(H34,1,11)</f>
        <v>46328</v>
      </c>
      <c r="J34" s="28" t="n">
        <f aca="false">WORKDAY.INTL(I34,1,11)</f>
        <v>46329</v>
      </c>
      <c r="K34" s="28" t="n">
        <f aca="false">WORKDAY.INTL(J34,1,11)</f>
        <v>46330</v>
      </c>
      <c r="L34" s="28" t="n">
        <f aca="false">WORKDAY.INTL(K34,1,11)</f>
        <v>46331</v>
      </c>
      <c r="M34" s="28" t="n">
        <f aca="false">WORKDAY.INTL(L34,1,11)</f>
        <v>46332</v>
      </c>
      <c r="N34" s="28" t="n">
        <f aca="false">WORKDAY.INTL(M34,1,11)</f>
        <v>46333</v>
      </c>
      <c r="O34" s="28" t="n">
        <f aca="false">WORKDAY.INTL(N34,1,11)</f>
        <v>46335</v>
      </c>
      <c r="P34" s="28" t="n">
        <f aca="false">WORKDAY.INTL(O34,1,11)</f>
        <v>46336</v>
      </c>
    </row>
    <row r="35" customFormat="false" ht="15" hidden="false" customHeight="false" outlineLevel="0" collapsed="false">
      <c r="A35" s="3" t="s">
        <v>405</v>
      </c>
      <c r="B35" s="3" t="s">
        <v>72</v>
      </c>
      <c r="C35" s="3" t="n">
        <v>1</v>
      </c>
      <c r="D35" s="28" t="n">
        <f aca="false">DATE(2026,10,27)</f>
        <v>46322</v>
      </c>
      <c r="E35" s="28" t="n">
        <f aca="false">WORKDAY.INTL(D35,1,11)</f>
        <v>46323</v>
      </c>
      <c r="F35" s="28" t="n">
        <f aca="false">WORKDAY.INTL(E35,1,11)</f>
        <v>46324</v>
      </c>
      <c r="G35" s="28" t="n">
        <f aca="false">WORKDAY.INTL(F35,1,11)</f>
        <v>46325</v>
      </c>
      <c r="H35" s="28" t="n">
        <f aca="false">WORKDAY.INTL(G35,1,11)</f>
        <v>46326</v>
      </c>
      <c r="I35" s="28" t="n">
        <f aca="false">WORKDAY.INTL(H35,1,11)</f>
        <v>46328</v>
      </c>
      <c r="J35" s="28" t="n">
        <f aca="false">WORKDAY.INTL(I35,1,11)</f>
        <v>46329</v>
      </c>
      <c r="K35" s="28" t="n">
        <f aca="false">WORKDAY.INTL(J35,1,11)</f>
        <v>46330</v>
      </c>
      <c r="L35" s="28" t="n">
        <f aca="false">WORKDAY.INTL(K35,1,11)</f>
        <v>46331</v>
      </c>
      <c r="M35" s="28" t="n">
        <f aca="false">WORKDAY.INTL(L35,1,11)</f>
        <v>46332</v>
      </c>
      <c r="N35" s="28" t="n">
        <f aca="false">WORKDAY.INTL(M35,1,11)</f>
        <v>46333</v>
      </c>
      <c r="O35" s="28" t="n">
        <f aca="false">WORKDAY.INTL(N35,1,11)</f>
        <v>46335</v>
      </c>
      <c r="P35" s="28" t="n">
        <f aca="false">WORKDAY.INTL(O35,1,11)</f>
        <v>46336</v>
      </c>
    </row>
    <row r="36" customFormat="false" ht="15" hidden="false" customHeight="false" outlineLevel="0" collapsed="false">
      <c r="A36" s="3" t="s">
        <v>401</v>
      </c>
      <c r="B36" s="3" t="s">
        <v>28</v>
      </c>
      <c r="C36" s="3" t="n">
        <v>2</v>
      </c>
      <c r="D36" s="28" t="n">
        <f aca="false">DATE(2026,10,28)</f>
        <v>46323</v>
      </c>
      <c r="E36" s="28" t="n">
        <f aca="false">WORKDAY.INTL(D36,1,11)</f>
        <v>46324</v>
      </c>
      <c r="F36" s="28" t="n">
        <f aca="false">WORKDAY.INTL(E36,1,11)</f>
        <v>46325</v>
      </c>
      <c r="G36" s="28" t="n">
        <f aca="false">WORKDAY.INTL(F36,1,11)</f>
        <v>46326</v>
      </c>
      <c r="H36" s="28" t="n">
        <f aca="false">WORKDAY.INTL(G36,1,11)</f>
        <v>46328</v>
      </c>
      <c r="I36" s="28" t="n">
        <f aca="false">WORKDAY.INTL(H36,1,11)</f>
        <v>46329</v>
      </c>
      <c r="J36" s="28" t="n">
        <f aca="false">WORKDAY.INTL(I36,1,11)</f>
        <v>46330</v>
      </c>
      <c r="K36" s="28" t="n">
        <f aca="false">WORKDAY.INTL(J36,1,11)</f>
        <v>46331</v>
      </c>
      <c r="L36" s="28" t="n">
        <f aca="false">WORKDAY.INTL(K36,1,11)</f>
        <v>46332</v>
      </c>
      <c r="M36" s="28" t="n">
        <f aca="false">WORKDAY.INTL(L36,1,11)</f>
        <v>46333</v>
      </c>
      <c r="N36" s="28" t="n">
        <f aca="false">WORKDAY.INTL(M36,1,11)</f>
        <v>46335</v>
      </c>
      <c r="O36" s="28" t="n">
        <f aca="false">WORKDAY.INTL(N36,1,11)</f>
        <v>46336</v>
      </c>
      <c r="P36" s="28" t="n">
        <f aca="false">WORKDAY.INTL(O36,1,11)</f>
        <v>46337</v>
      </c>
    </row>
    <row r="37" customFormat="false" ht="15" hidden="false" customHeight="false" outlineLevel="0" collapsed="false">
      <c r="A37" s="3" t="s">
        <v>401</v>
      </c>
      <c r="B37" s="3" t="s">
        <v>25</v>
      </c>
      <c r="C37" s="3" t="n">
        <v>2</v>
      </c>
      <c r="D37" s="28" t="n">
        <f aca="false">DATE(2026,10,28)</f>
        <v>46323</v>
      </c>
      <c r="E37" s="28" t="n">
        <f aca="false">WORKDAY.INTL(D37,1,11)</f>
        <v>46324</v>
      </c>
      <c r="F37" s="28" t="n">
        <f aca="false">WORKDAY.INTL(E37,1,11)</f>
        <v>46325</v>
      </c>
      <c r="G37" s="28" t="n">
        <f aca="false">WORKDAY.INTL(F37,1,11)</f>
        <v>46326</v>
      </c>
      <c r="H37" s="28" t="n">
        <f aca="false">WORKDAY.INTL(G37,1,11)</f>
        <v>46328</v>
      </c>
      <c r="I37" s="28" t="n">
        <f aca="false">WORKDAY.INTL(H37,1,11)</f>
        <v>46329</v>
      </c>
      <c r="J37" s="28" t="n">
        <f aca="false">WORKDAY.INTL(I37,1,11)</f>
        <v>46330</v>
      </c>
      <c r="K37" s="28" t="n">
        <f aca="false">WORKDAY.INTL(J37,1,11)</f>
        <v>46331</v>
      </c>
      <c r="L37" s="28" t="n">
        <f aca="false">WORKDAY.INTL(K37,1,11)</f>
        <v>46332</v>
      </c>
      <c r="M37" s="28" t="n">
        <f aca="false">WORKDAY.INTL(L37,1,11)</f>
        <v>46333</v>
      </c>
      <c r="N37" s="28" t="n">
        <f aca="false">WORKDAY.INTL(M37,1,11)</f>
        <v>46335</v>
      </c>
      <c r="O37" s="28" t="n">
        <f aca="false">WORKDAY.INTL(N37,1,11)</f>
        <v>46336</v>
      </c>
      <c r="P37" s="28" t="n">
        <f aca="false">WORKDAY.INTL(O37,1,11)</f>
        <v>46337</v>
      </c>
    </row>
    <row r="38" customFormat="false" ht="15" hidden="false" customHeight="false" outlineLevel="0" collapsed="false">
      <c r="A38" s="3" t="s">
        <v>401</v>
      </c>
      <c r="B38" s="3" t="s">
        <v>72</v>
      </c>
      <c r="C38" s="3" t="n">
        <v>2</v>
      </c>
      <c r="D38" s="28" t="n">
        <f aca="false">DATE(2026,10,28)</f>
        <v>46323</v>
      </c>
      <c r="E38" s="28" t="n">
        <f aca="false">WORKDAY.INTL(D38,1,11)</f>
        <v>46324</v>
      </c>
      <c r="F38" s="28" t="n">
        <f aca="false">WORKDAY.INTL(E38,1,11)</f>
        <v>46325</v>
      </c>
      <c r="G38" s="28" t="n">
        <f aca="false">WORKDAY.INTL(F38,1,11)</f>
        <v>46326</v>
      </c>
      <c r="H38" s="28" t="n">
        <f aca="false">WORKDAY.INTL(G38,1,11)</f>
        <v>46328</v>
      </c>
      <c r="I38" s="28" t="n">
        <f aca="false">WORKDAY.INTL(H38,1,11)</f>
        <v>46329</v>
      </c>
      <c r="J38" s="28" t="n">
        <f aca="false">WORKDAY.INTL(I38,1,11)</f>
        <v>46330</v>
      </c>
      <c r="K38" s="28" t="n">
        <f aca="false">WORKDAY.INTL(J38,1,11)</f>
        <v>46331</v>
      </c>
      <c r="L38" s="28" t="n">
        <f aca="false">WORKDAY.INTL(K38,1,11)</f>
        <v>46332</v>
      </c>
      <c r="M38" s="28" t="n">
        <f aca="false">WORKDAY.INTL(L38,1,11)</f>
        <v>46333</v>
      </c>
      <c r="N38" s="28" t="n">
        <f aca="false">WORKDAY.INTL(M38,1,11)</f>
        <v>46335</v>
      </c>
      <c r="O38" s="28" t="n">
        <f aca="false">WORKDAY.INTL(N38,1,11)</f>
        <v>46336</v>
      </c>
      <c r="P38" s="28" t="n">
        <f aca="false">WORKDAY.INTL(O38,1,11)</f>
        <v>46337</v>
      </c>
    </row>
    <row r="40" customFormat="false" ht="15" hidden="false" customHeight="false" outlineLevel="0" collapsed="false">
      <c r="A40" s="20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2026-10-30T02:45:32Z</dcterms:created>
  <dc:creator>openpyxl</dc:creator>
  <dc:description/>
  <dc:language>en-US</dc:language>
  <cp:lastModifiedBy/>
  <dcterms:modified xsi:type="dcterms:W3CDTF">2026-10-30T02:45:33Z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