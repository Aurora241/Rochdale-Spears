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32 5-10 đến 24-10" sheetId="1" state="visible" r:id="rId3"/>
    <sheet name="Theo ngày" sheetId="2" state="visible" r:id="rId4"/>
    <sheet name="Nhập liệu S32" sheetId="3" state="visible" r:id="rId5"/>
    <sheet name="Đối chiếu nguồn" sheetId="4" state="visible" r:id="rId6"/>
    <sheet name="Chi tiết mã hàng" sheetId="5" state="visible" r:id="rId7"/>
    <sheet name="Ghi chú review" sheetId="6" state="visible" r:id="rId8"/>
  </sheets>
  <definedNames>
    <definedName function="false" hidden="true" localSheetId="0" name="_xlnm._FilterDatabase" vbProcedure="false">'S32 5-10 đến 24-10'!$A$2:$R$56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<sst xmlns="http://schemas.openxmlformats.org/spreadsheetml/2006/main" count="998" uniqueCount="225">
  <si>
    <t xml:space="preserve">LOSS TIME MÃ S32 (OTHER SUPPORT OF PRODUCTION) - 05/10 ĐẾN 24/10/2026 - LÀM RIÊNG, KHÔNG LẪN MÃ KHÁC</t>
  </si>
  <si>
    <t xml:space="preserve">Week</t>
  </si>
  <si>
    <t xml:space="preserve">Date 
(Ngày)</t>
  </si>
  <si>
    <t xml:space="preserve">Item's
Mã hàng</t>
  </si>
  <si>
    <t xml:space="preserve">Code Máy Hư</t>
  </si>
  <si>
    <t xml:space="preserve">Q'ty</t>
  </si>
  <si>
    <t xml:space="preserve">Số NCR/ME</t>
  </si>
  <si>
    <t xml:space="preserve">Khu vực phát sinh/bộ phận hỗ trợ</t>
  </si>
  <si>
    <t xml:space="preserve">Code</t>
  </si>
  <si>
    <t xml:space="preserve">Name code</t>
  </si>
  <si>
    <t xml:space="preserve">Chart / bộ phận chịu trách nhiệm</t>
  </si>
  <si>
    <t xml:space="preserve">Lí Do</t>
  </si>
  <si>
    <t xml:space="preserve">Ghi chú</t>
  </si>
  <si>
    <t xml:space="preserve">From</t>
  </si>
  <si>
    <t xml:space="preserve">To</t>
  </si>
  <si>
    <t xml:space="preserve">LossTime (Hr)</t>
  </si>
  <si>
    <t xml:space="preserve">HC</t>
  </si>
  <si>
    <t xml:space="preserve">Loss time labor (Hrs)</t>
  </si>
  <si>
    <t xml:space="preserve">Nguồn</t>
  </si>
  <si>
    <t xml:space="preserve">CZ842F188+CZ842F381+CZ842F409</t>
  </si>
  <si>
    <t xml:space="preserve">Raw Cutting</t>
  </si>
  <si>
    <t xml:space="preserve">S32</t>
  </si>
  <si>
    <t xml:space="preserve">Other Support of Production</t>
  </si>
  <si>
    <t xml:space="preserve">OTHERS (INVESTIGATE)</t>
  </si>
  <si>
    <t xml:space="preserve">Hỗ trợ P1 ép nóng</t>
  </si>
  <si>
    <t xml:space="preserve">Hỗ trợ P1 (3 mã hàng, 1 ca)</t>
  </si>
  <si>
    <t xml:space="preserve">File Ép nóng</t>
  </si>
  <si>
    <t xml:space="preserve">CE517F992-TOP+CE592F1222-TOP</t>
  </si>
  <si>
    <t xml:space="preserve">Hỗ trợ P1 ép nóng - ép lót</t>
  </si>
  <si>
    <t xml:space="preserve">Ép lót (2 mã hàng)</t>
  </si>
  <si>
    <t xml:space="preserve">FINISHING</t>
  </si>
  <si>
    <t xml:space="preserve">Không có bomtime chuyền UV</t>
  </si>
  <si>
    <t xml:space="preserve">HC làm việc (ca thường)</t>
  </si>
  <si>
    <t xml:space="preserve">File UV (báo cáo ngày)</t>
  </si>
  <si>
    <t xml:space="preserve">HC tăng ca (OT 4 giờ)</t>
  </si>
  <si>
    <t xml:space="preserve">Hỗ trợ P1 ép nóng - ép chính</t>
  </si>
  <si>
    <t xml:space="preserve">Ép chính (2 mã hàng)</t>
  </si>
  <si>
    <t xml:space="preserve">RH9949F425</t>
  </si>
  <si>
    <t xml:space="preserve">MACHINING</t>
  </si>
  <si>
    <t xml:space="preserve">Beam saw - phát sinh (chi tiết P08-1)</t>
  </si>
  <si>
    <t xml:space="preserve">STT 292</t>
  </si>
  <si>
    <t xml:space="preserve">File Beam saw</t>
  </si>
  <si>
    <t xml:space="preserve">RH9339F423</t>
  </si>
  <si>
    <t xml:space="preserve">Beam saw - phát sinh (chi tiết P01-1)</t>
  </si>
  <si>
    <t xml:space="preserve">STT 293</t>
  </si>
  <si>
    <t xml:space="preserve">RH7340F383</t>
  </si>
  <si>
    <t xml:space="preserve">Beam saw - phát sinh (chi tiết A3-S01)</t>
  </si>
  <si>
    <t xml:space="preserve">STT 294</t>
  </si>
  <si>
    <t xml:space="preserve">RH7150F409</t>
  </si>
  <si>
    <t xml:space="preserve">Beam saw - phát sinh (chi tiết P01)</t>
  </si>
  <si>
    <t xml:space="preserve">STT 295</t>
  </si>
  <si>
    <t xml:space="preserve">AR1368F1330</t>
  </si>
  <si>
    <t xml:space="preserve">QA/QC/TESTING</t>
  </si>
  <si>
    <t xml:space="preserve">Beam saw - phát sinh (chi tiết P12)</t>
  </si>
  <si>
    <t xml:space="preserve">Charge to: QA do không test lúc sample</t>
  </si>
  <si>
    <t xml:space="preserve">AR1001F1001</t>
  </si>
  <si>
    <t xml:space="preserve">Beam saw - phát sinh (chi tiết A1-S02)</t>
  </si>
  <si>
    <t xml:space="preserve">STT 297</t>
  </si>
  <si>
    <t xml:space="preserve">code 516+code 231</t>
  </si>
  <si>
    <t xml:space="preserve">TECHNICAL FINISHING</t>
  </si>
  <si>
    <t xml:space="preserve">Làm mẫu (veneer)</t>
  </si>
  <si>
    <t xml:space="preserve">2 mã (code 516, code 231), 1 ca</t>
  </si>
  <si>
    <t xml:space="preserve">File Veneer</t>
  </si>
  <si>
    <t xml:space="preserve">Phát sinh khu vực UV - SLAT (23 mã hàng)</t>
  </si>
  <si>
    <t xml:space="preserve">Charge to: QC A HIẾU; mã hàng xem sheet Chi tiết</t>
  </si>
  <si>
    <t xml:space="preserve">File UV (phát sinh)</t>
  </si>
  <si>
    <t xml:space="preserve">RH11-1119-0129-41797+RH11-1179-0129-40474+RH11-4136-0129-40505 (+20 mã)</t>
  </si>
  <si>
    <t xml:space="preserve">Assembly</t>
  </si>
  <si>
    <t xml:space="preserve">Không có bomtime sơn lòng trong</t>
  </si>
  <si>
    <t xml:space="preserve">Thợ sơn lòng trong tủ - hỗ trợ Fin</t>
  </si>
  <si>
    <t xml:space="preserve">Hình: thợ sơn</t>
  </si>
  <si>
    <t xml:space="preserve">AR12-1137-1404-R0000</t>
  </si>
  <si>
    <t xml:space="preserve">Phát sinh khu vực UV - Back Panel</t>
  </si>
  <si>
    <t xml:space="preserve">Charge to: TF</t>
  </si>
  <si>
    <t xml:space="preserve">AR1069F1233</t>
  </si>
  <si>
    <t xml:space="preserve">Machining</t>
  </si>
  <si>
    <t xml:space="preserve">ME</t>
  </si>
  <si>
    <t xml:space="preserve">Hỗ trợ sửa hàng MAC - chạy nhỏ lại mộng theo routing</t>
  </si>
  <si>
    <t xml:space="preserve">Chi tiết A5-S2, 100 cây</t>
  </si>
  <si>
    <t xml:space="preserve">File sửa hàng MAC</t>
  </si>
  <si>
    <t xml:space="preserve">code 229</t>
  </si>
  <si>
    <t xml:space="preserve">RH2252</t>
  </si>
  <si>
    <t xml:space="preserve">SUBCON</t>
  </si>
  <si>
    <t xml:space="preserve">Bắn cát hỗ trợ Subcon Đại Xuyên (chân)</t>
  </si>
  <si>
    <t xml:space="preserve">Line bắn cát - hỗ trợ Supcon Đại Xuyên</t>
  </si>
  <si>
    <t xml:space="preserve">Hình: bắn cát</t>
  </si>
  <si>
    <t xml:space="preserve">CZ065F08</t>
  </si>
  <si>
    <t xml:space="preserve">(chưa phân công)</t>
  </si>
  <si>
    <t xml:space="preserve">Beam saw - phát sinh (chi tiết P10)</t>
  </si>
  <si>
    <t xml:space="preserve">Charge to: Unassigned</t>
  </si>
  <si>
    <t xml:space="preserve">CZ065F09</t>
  </si>
  <si>
    <t xml:space="preserve">RH5061</t>
  </si>
  <si>
    <t xml:space="preserve">Cào cước hỗ trợ MAC</t>
  </si>
  <si>
    <t xml:space="preserve">Line 7 - hỗ trợ MAC</t>
  </si>
  <si>
    <t xml:space="preserve">Hình: cào cước</t>
  </si>
  <si>
    <t xml:space="preserve">RH893</t>
  </si>
  <si>
    <t xml:space="preserve">Line 8 - hỗ trợ MAC</t>
  </si>
  <si>
    <t xml:space="preserve">SH20-1029-1471-41191</t>
  </si>
  <si>
    <t xml:space="preserve">STT 300</t>
  </si>
  <si>
    <t xml:space="preserve">Thợ sơn lòng trong tủ - hỗ trợ Fin (thứ Bảy)</t>
  </si>
  <si>
    <t xml:space="preserve">AR1113F1330</t>
  </si>
  <si>
    <t xml:space="preserve">Beam saw - phát sinh (chi tiết A05-S01-1)</t>
  </si>
  <si>
    <t xml:space="preserve">STT 301</t>
  </si>
  <si>
    <t xml:space="preserve">Beam saw - phát sinh (chi tiết A05-S01-2)</t>
  </si>
  <si>
    <t xml:space="preserve">STT 302</t>
  </si>
  <si>
    <t xml:space="preserve">STT 303</t>
  </si>
  <si>
    <t xml:space="preserve">CZ567F08</t>
  </si>
  <si>
    <t xml:space="preserve">Beam saw - phát sinh (chi tiết P11)</t>
  </si>
  <si>
    <t xml:space="preserve">CZ567F09</t>
  </si>
  <si>
    <t xml:space="preserve">code 191</t>
  </si>
  <si>
    <t xml:space="preserve">RH21-2184-492</t>
  </si>
  <si>
    <t xml:space="preserve">(cần xác nhận)</t>
  </si>
  <si>
    <t xml:space="preserve">Veneer walnut cắt ghép (bs lại)</t>
  </si>
  <si>
    <t xml:space="preserve">Nguồn ghi Charge to: "bs lại"</t>
  </si>
  <si>
    <t xml:space="preserve">code 014</t>
  </si>
  <si>
    <t xml:space="preserve">AR1337F1291</t>
  </si>
  <si>
    <t xml:space="preserve">STT 306</t>
  </si>
  <si>
    <t xml:space="preserve">W4012F2041</t>
  </si>
  <si>
    <t xml:space="preserve">Charge to: HÀNG BẢNG MÀU</t>
  </si>
  <si>
    <t xml:space="preserve">AR15-1016-892</t>
  </si>
  <si>
    <t xml:space="preserve">Hỗ trợ sửa hàng MAC - khoan lại lỗ vít 11mm</t>
  </si>
  <si>
    <t xml:space="preserve">Chi tiết TOP A1, 65 bộ. Nguồn ghi tổng 1:55 nhưng 9:32-11:20 là 1:48</t>
  </si>
  <si>
    <t xml:space="preserve">AT655F535</t>
  </si>
  <si>
    <t xml:space="preserve">Beam saw - phát sinh (chi tiết A5-S02-1)</t>
  </si>
  <si>
    <t xml:space="preserve">code 239</t>
  </si>
  <si>
    <t xml:space="preserve">Soạn hàng veneer lỗi trả lại kho</t>
  </si>
  <si>
    <t xml:space="preserve">code 239 (130 m2)</t>
  </si>
  <si>
    <t xml:space="preserve">RH12-4706-0423</t>
  </si>
  <si>
    <t xml:space="preserve">Sửa hàng hộc kéo (veneer)</t>
  </si>
  <si>
    <t xml:space="preserve">Thứ Bảy 24/10 8:00-20:00 (có thể là giờ dự kiến)</t>
  </si>
  <si>
    <t xml:space="preserve">Tổng</t>
  </si>
  <si>
    <t xml:space="preserve">Vàng = giờ cần xác nhận (dự kiến hoặc giả định). Cam = dòng cần quyết định (Chủ nhật 11/10 UV; Beam saw 16/10 chưa phân công bộ phận).</t>
  </si>
  <si>
    <t xml:space="preserve">GIỜ CÔNG S32 THEO NGÀY VÀ THEO NGUỒN</t>
  </si>
  <si>
    <t xml:space="preserve">Ngày</t>
  </si>
  <si>
    <t xml:space="preserve">Thứ</t>
  </si>
  <si>
    <t xml:space="preserve">Tuần</t>
  </si>
  <si>
    <t xml:space="preserve">Tổng ngày</t>
  </si>
  <si>
    <t xml:space="preserve">Thứ Hai</t>
  </si>
  <si>
    <t xml:space="preserve">Thứ Ba</t>
  </si>
  <si>
    <t xml:space="preserve">Thứ Tư</t>
  </si>
  <si>
    <t xml:space="preserve">Thứ Năm</t>
  </si>
  <si>
    <t xml:space="preserve">Thứ Sáu</t>
  </si>
  <si>
    <t xml:space="preserve">Thứ Bảy</t>
  </si>
  <si>
    <t xml:space="preserve">Chủ nhật</t>
  </si>
  <si>
    <t xml:space="preserve">TỔNG THEO TUẦN</t>
  </si>
  <si>
    <t xml:space="preserve">Giờ công</t>
  </si>
  <si>
    <t xml:space="preserve">W41</t>
  </si>
  <si>
    <t xml:space="preserve">W42</t>
  </si>
  <si>
    <t xml:space="preserve">W43</t>
  </si>
  <si>
    <t xml:space="preserve">Ngày (Loss Date)</t>
  </si>
  <si>
    <t xml:space="preserve">LossTime Code</t>
  </si>
  <si>
    <t xml:space="preserve">Notes</t>
  </si>
  <si>
    <t xml:space="preserve">Process</t>
  </si>
  <si>
    <t xml:space="preserve">Dept In Charge</t>
  </si>
  <si>
    <t xml:space="preserve">Worker Qty</t>
  </si>
  <si>
    <t xml:space="preserve">(Tham khảo) Part Number</t>
  </si>
  <si>
    <t xml:space="preserve">(Tham khảo) Total Order</t>
  </si>
  <si>
    <t xml:space="preserve">(Tham khảo) Ghi chú</t>
  </si>
  <si>
    <t xml:space="preserve">(Tham khảo) Nguồn</t>
  </si>
  <si>
    <t xml:space="preserve">Đổi Loss Date theo cột A khi nhập. Cột 2 đến 8 là các ô cần nhập (From/To bạn tự nhập). Các cột xám chỉ để tham khảo.</t>
  </si>
  <si>
    <t xml:space="preserve">ĐỐI CHIẾU GIỜ CÔNG VỚI SỐ GIỜ TRONG FILE/HÌNH NGUỒN</t>
  </si>
  <si>
    <t xml:space="preserve">Số giờ trong file/hình nguồn</t>
  </si>
  <si>
    <t xml:space="preserve">Giờ công trong bảng S32</t>
  </si>
  <si>
    <t xml:space="preserve">Chênh lệch</t>
  </si>
  <si>
    <t xml:space="preserve">Kết quả</t>
  </si>
  <si>
    <t xml:space="preserve">Chữ xanh = số lấy từ file/hình nguồn (cột "SỐ GIỜ" hoặc tổng tuần trong báo cáo). Chỉ lấy các dòng từ 05/10/2026 trở đi.</t>
  </si>
  <si>
    <t xml:space="preserve">Mã hàng / code</t>
  </si>
  <si>
    <t xml:space="preserve">Tên chi tiết</t>
  </si>
  <si>
    <t xml:space="preserve">Số lượng</t>
  </si>
  <si>
    <t xml:space="preserve">CZ842F188</t>
  </si>
  <si>
    <t xml:space="preserve">A1-S04</t>
  </si>
  <si>
    <t xml:space="preserve">CZ842F381</t>
  </si>
  <si>
    <t xml:space="preserve">CZ842F409</t>
  </si>
  <si>
    <t xml:space="preserve">CE517F992-TOP</t>
  </si>
  <si>
    <t xml:space="preserve">A1-S01</t>
  </si>
  <si>
    <t xml:space="preserve">CE592F1222-TOP</t>
  </si>
  <si>
    <t xml:space="preserve">A1-S01-1</t>
  </si>
  <si>
    <t xml:space="preserve">code 516</t>
  </si>
  <si>
    <t xml:space="preserve">320x620</t>
  </si>
  <si>
    <t xml:space="preserve">code 231</t>
  </si>
  <si>
    <t xml:space="preserve">RH11-1119-0129-41797</t>
  </si>
  <si>
    <t xml:space="preserve">SLAT</t>
  </si>
  <si>
    <t xml:space="preserve">RH11-1179-0129-40474</t>
  </si>
  <si>
    <t xml:space="preserve">RH11-4136-0129-40505</t>
  </si>
  <si>
    <t xml:space="preserve">RH11-1321-0129-41782</t>
  </si>
  <si>
    <t xml:space="preserve">RH11-1343-0129-41914</t>
  </si>
  <si>
    <t xml:space="preserve">RH11-1210-0129-40709</t>
  </si>
  <si>
    <t xml:space="preserve">RH11-2367-0129-40575</t>
  </si>
  <si>
    <t xml:space="preserve">RH11-1343-0129-40542</t>
  </si>
  <si>
    <t xml:space="preserve">RH11-1340-0129-40477</t>
  </si>
  <si>
    <t xml:space="preserve">RH11-1104-0129-40711</t>
  </si>
  <si>
    <t xml:space="preserve">RH11-1144-0129-40580</t>
  </si>
  <si>
    <t xml:space="preserve">RH11-1099-0129-40527</t>
  </si>
  <si>
    <t xml:space="preserve">RH11-1118-0129-40551</t>
  </si>
  <si>
    <t xml:space="preserve">RH11-1260-0129-41797</t>
  </si>
  <si>
    <t xml:space="preserve">RH11-1119-0129-31931</t>
  </si>
  <si>
    <t xml:space="preserve">RH11-1119-0129-31930</t>
  </si>
  <si>
    <t xml:space="preserve">RH11-1119-0129-31932</t>
  </si>
  <si>
    <t xml:space="preserve">RH11-1340-0129-31981</t>
  </si>
  <si>
    <t xml:space="preserve">RH11-1330-0129-40437</t>
  </si>
  <si>
    <t xml:space="preserve">RH11-1291-0434-40709</t>
  </si>
  <si>
    <t xml:space="preserve">RH11-1102-0129-41797</t>
  </si>
  <si>
    <t xml:space="preserve">RH11-1102-0129-40569</t>
  </si>
  <si>
    <t xml:space="preserve">A5-S2</t>
  </si>
  <si>
    <t xml:space="preserve">647x2120</t>
  </si>
  <si>
    <t xml:space="preserve">A1-S4</t>
  </si>
  <si>
    <t xml:space="preserve">320x1020</t>
  </si>
  <si>
    <t xml:space="preserve">TOP A1</t>
  </si>
  <si>
    <t xml:space="preserve">veneer lỗi </t>
  </si>
  <si>
    <t xml:space="preserve">130m2</t>
  </si>
  <si>
    <t xml:space="preserve">GHI CHÚ REVIEW - BẢNG S32 (LÀM RIÊNG)</t>
  </si>
  <si>
    <t xml:space="preserve">1. Bảng này CHỈ chứa mã S32, tách hoàn toàn khỏi bảng P20/P26/P22/A2 (không lẫn mã khác). Khi bạn cập nhật, tôi giữ nguyên nguyên tắc này.</t>
  </si>
  <si>
    <t xml:space="preserve">2. Nguồn: 5 file trong gói zip (lấy bản mới nhất mỗi loại: Beam saw bản 24/10, UV bản (1), Ép nóng bản (1), Veneer bản 24/10, file sửa hàng MAC Mr.Hiệp) và 3 hình (thợ sơn tuần 42, cào cước 16/10, bắn cát 15/10). Chỉ lấy dòng từ 05/10 đến 24/10. UV (báo cáo ngày đến 11/10, phát sinh đến 13/10) và Ép nóng (đến 6/10) chưa có số liệu mới.</t>
  </si>
  <si>
    <t xml:space="preserve">3. Tất cả giờ công trong bảng khớp với số giờ trong nguồn (sheet "Đối chiếu nguồn"). Tổng giờ công xem sheet "Đối chiếu nguồn".</t>
  </si>
  <si>
    <t xml:space="preserve">4. UV báo cáo ngày: báo cáo ghi giờ = 8 giờ x HC làm việc + 4 giờ x HC tăng ca. Tôi tách mỗi ngày thành 2 dòng (ca thường 7:30-15:30; tăng ca 15:30-19:30) để ra đúng số giờ báo cáo. Tiền lệ trong file ghi 1 dòng/ngày (7:30-19:30), cần xác nhận cách ghi.</t>
  </si>
  <si>
    <t xml:space="preserve">5. UV Chủ nhật 11/10: có 9 người làm 8 giờ (72 giờ). Cần xác nhận có nhập Chủ nhật không (tô cam).</t>
  </si>
  <si>
    <t xml:space="preserve">6. UV: file báo cáo ngày chỉ đến 11/10; chưa có số liệu từ 12/10. UV phát sinh 12/10 có 23 mã hàng SLAT nhưng chỉ 2 dòng có giờ (HC 1, 9:30-20:00 và 7:30-15:00); danh sách mã ở sheet "Chi tiết mã hàng". Bộ phận ghi "QC" (báo cáo ghi "QC A HIẾU"), cần xác nhận.</t>
  </si>
  <si>
    <t xml:space="preserve">7. Beam saw: 17 dòng có giờ từ 08/10 đến 24/10 (thêm 22/10: AR1337F1291 0,1 giờ FINISHING và W4012F2041 3 giờ hàng bảng màu; 24/10: AT655F535 0,3 giờ). Dòng CZ567F09 ngày 20/10 đã được sửa trong file nguồn thành 18:15-18:18. 3 dòng ngày 19/10 (18:00-18:07) trên hệ thống đang nhập ngày 18/10, nguồn ghi ngày 19/10, cần kiểm tra lại. Khu vực ghi RC - PANEL (Raw Cutting, người dùng xác nhận 20/10). Bộ phận lấy từ cột Charge to: Machining CNC và Machining ghi "Machining"; "QA ..." ghi "QC"; 5 dòng ngày 16/10, 20/10 và 24/10 là "Unassigned" (chưa phân công), cần xác định bộ phận (tô cam).</t>
  </si>
  <si>
    <t xml:space="preserve">8. Ép nóng: 3 nhóm (5/10 hỗ trợ P1 4 người 16 giờ; 5/10 ép lót 5 người 30 giờ; 6/10 ép chính 5 người 55 giờ). Mỗi nhóm có nhiều mã hàng cùng một ca nên ghi một dòng, mã hàng nối bằng "+" (xem sheet Chi tiết). Đừng nhân giờ cho từng mã. Giờ bắt đầu 6:30 hiếm, nên xác nhận.</t>
  </si>
  <si>
    <t xml:space="preserve">9. Veneer (làm mẫu): 10/10 (2 người 9:00-10:30, 3 giờ, TF), 15/10 (1 người 8:00-8:20, ME) và 20/10 (code 191: 1 người 9:00-9:50, TF; walnut cắt ghép RH21-2184-492: 2 người 10:00-11:15, nguồn ghi Charge to "bs lại" nên bộ phận cần xác nhận, tô cam; code 014: 1 người 10:00-10:40, ME). Khu vực ghi RC - PANEL (Raw Cutting, người dùng xác nhận 20/10).</t>
  </si>
  <si>
    <t xml:space="preserve">10. Thợ sơn tuần 42: 12 người, 7:30-19:30 từ 12/10 đến 16/10 (720 giờ), thứ Bảy 17/10 7:30-15:30 (96 giờ, có thể là giờ dự kiến). Cào cước 16/10: dòng 15:00-20:00 có thể là giờ dự kiến. Bắn cát 15/10: ghi 7:00-15:00 để đúng 8 giờ/người (báo cáo ghi 7:00-16:00).</t>
  </si>
  <si>
    <t xml:space="preserve">11. Tên bộ phận và khu vực đã đổi theo dropdown hệ thống (lấy từ file xuất 20/10): FINISHING, TECHNICAL FINISHING, OTHERS (INVESTIGATE) cho hỗ trợ P1, QA/QC/TESTING, SUBCON, MACHINING, ME; khu vực Raw Cutting và Assembly. Cách ghi này theo người nhập trước (Hùng, Tiến).</t>
  </si>
  <si>
    <t xml:space="preserve">12. File sửa hàng MAC (Mr.Hiệp) là nguồn mới: 14/10 (AR1069F1233, chạy nhỏ lại mộng, 2 người, 9:00-10:00) và 23/10 (AR15-1016-892, khoan lại lỗ vít 11mm, 2 người, 9:32-11:20). Khu vực Machining, bộ phận ME (cột "Hỗ trợ sửa"). Dòng 23/10: cột tổng thời gian ghi 1:55 nhưng 9:32-11:20 là 1:48, bảng lấy theo giờ bắt đầu - kết thúc (3,6 giờ công) nên sheet Đối chiếu nguồn lệch 0,23 giờ (tô vàng).</t>
  </si>
  <si>
    <t xml:space="preserve">13. Veneer 24/10 (Thứ Bảy): soạn hàng veneer lỗi trả lại kho (2 người 8:00-9:30, 3 giờ, ME) và sửa hàng hộc kéo RH12-4706-0423 (4 người 8:00-20:00, 48 giờ, ME). Dòng 48 giờ có thể là giờ dự kiến (tô vàng).</t>
  </si>
  <si>
    <t xml:space="preserve">14. Beam saw 22/10: 7 dòng "HÀNG BẢNG MÀU" (W0114F08, W0276F03, W1981F1055, W2629F1222, W0164F01 x2, W2446F1200) chưa có giờ bắt đầu/kết thúc trong nguồn nên chưa đưa vào bảng (0 giờ). Cần hỏi giờ nếu muốn nhập. Hàng bảng màu theo tiền lệ ghi bộ phận TECHNICAL FINISHING.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</si>
</sst>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\-mmm"/>
    <numFmt numFmtId="166" formatCode="h:mm;@"/>
    <numFmt numFmtId="167" formatCode="0.00"/>
    <numFmt numFmtId="168" formatCode="#,##0.00"/>
    <numFmt numFmtId="169" formatCode="dd/mm/yyyy"/>
    <numFmt numFmtId="170" formatCode="#,##0.0;\-#,##0.0;\-"/>
    <numFmt numFmtId="171" formatCode="#,##0.0"/>
    <numFmt numFmtId="172" formatCode="hh:mm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  <font>
      <sz val="11"/>
      <name val="Times New Roman"/>
      <family val="0"/>
      <charset val="1"/>
    </font>
    <font>
      <b val="true"/>
      <sz val="11"/>
      <name val="Times New Roman"/>
      <family val="0"/>
      <charset val="1"/>
    </font>
    <font>
      <i val="true"/>
      <sz val="11"/>
      <name val="Times New Roman"/>
      <family val="0"/>
      <charset val="1"/>
    </font>
    <font>
      <b val="true"/>
      <sz val="14"/>
      <name val="Times New Roman"/>
      <family val="0"/>
      <charset val="1"/>
    </font>
    <font>
      <sz val="11"/>
      <color rgb="FF000000"/>
      <name val="Times New Roman"/>
      <family val="0"/>
      <charset val="1"/>
    </font>
    <font>
      <sz val="11"/>
      <color rgb="FF7F7F7F"/>
      <name val="Times New Roman"/>
      <family val="0"/>
      <charset val="1"/>
    </font>
    <font>
      <sz val="11"/>
      <color rgb="FF0000FF"/>
      <name val="Times New Roman"/>
      <family val="0"/>
      <charset val="1"/>
    </font>
    <font>
      <b val="true"/>
      <sz val="12"/>
      <name val="Times New Roman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7F7F7F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C00000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3" min="3" style="0" width="28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6"/>
    <col collapsed="false" customWidth="true" hidden="false" outlineLevel="0" max="11" min="11" style="0" width="42"/>
    <col collapsed="false" customWidth="true" hidden="false" outlineLevel="0" max="12" min="12" style="0" width="36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  <col collapsed="false" customWidth="true" hidden="false" outlineLevel="0" max="18" min="18" style="0" width="22"/>
  </cols>
  <sheetData>
    <row r="1" customFormat="false" ht="18.55" hidden="false" customHeight="false" outlineLevel="0" collapsed="false">
      <c r="A1" s="1" t="s">
        <v>0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</row>
    <row r="3" customFormat="false" ht="25.35" hidden="false" customHeight="false" outlineLevel="0" collapsed="false">
      <c r="A3" s="3" t="str">
        <f aca="false">"W"&amp;WEEKNUM(B3,21)</f>
        <v>W41</v>
      </c>
      <c r="B3" s="4" t="n">
        <v>46300</v>
      </c>
      <c r="C3" s="5" t="s">
        <v>19</v>
      </c>
      <c r="D3" s="3"/>
      <c r="E3" s="3" t="n">
        <v>25</v>
      </c>
      <c r="F3" s="3"/>
      <c r="G3" s="3" t="s">
        <v>20</v>
      </c>
      <c r="H3" s="3" t="s">
        <v>21</v>
      </c>
      <c r="I3" s="5" t="s">
        <v>22</v>
      </c>
      <c r="J3" s="3" t="s">
        <v>23</v>
      </c>
      <c r="K3" s="5" t="s">
        <v>24</v>
      </c>
      <c r="L3" s="5" t="s">
        <v>25</v>
      </c>
      <c r="M3" s="6" t="n">
        <v>0.270833333333333</v>
      </c>
      <c r="N3" s="6" t="n">
        <v>0.4375</v>
      </c>
      <c r="O3" s="7" t="n">
        <f aca="false">(N3-M3)*24</f>
        <v>4</v>
      </c>
      <c r="P3" s="3" t="n">
        <v>4</v>
      </c>
      <c r="Q3" s="7" t="n">
        <f aca="false">P3*O3</f>
        <v>16</v>
      </c>
      <c r="R3" s="3" t="s">
        <v>26</v>
      </c>
    </row>
    <row r="4" customFormat="false" ht="25.35" hidden="false" customHeight="false" outlineLevel="0" collapsed="false">
      <c r="A4" s="3" t="str">
        <f aca="false">"W"&amp;WEEKNUM(B4,21)</f>
        <v>W41</v>
      </c>
      <c r="B4" s="4" t="n">
        <v>46300</v>
      </c>
      <c r="C4" s="5" t="s">
        <v>27</v>
      </c>
      <c r="D4" s="3"/>
      <c r="E4" s="3" t="n">
        <v>50</v>
      </c>
      <c r="F4" s="3"/>
      <c r="G4" s="3" t="s">
        <v>20</v>
      </c>
      <c r="H4" s="3" t="s">
        <v>21</v>
      </c>
      <c r="I4" s="5" t="s">
        <v>22</v>
      </c>
      <c r="J4" s="3" t="s">
        <v>23</v>
      </c>
      <c r="K4" s="5" t="s">
        <v>28</v>
      </c>
      <c r="L4" s="5" t="s">
        <v>29</v>
      </c>
      <c r="M4" s="6" t="n">
        <v>0.291666666666667</v>
      </c>
      <c r="N4" s="6" t="n">
        <v>0.541666666666667</v>
      </c>
      <c r="O4" s="7" t="n">
        <f aca="false">(N4-M4)*24</f>
        <v>6</v>
      </c>
      <c r="P4" s="3" t="n">
        <v>5</v>
      </c>
      <c r="Q4" s="7" t="n">
        <f aca="false">P4*O4</f>
        <v>30</v>
      </c>
      <c r="R4" s="3" t="s">
        <v>26</v>
      </c>
    </row>
    <row r="5" customFormat="false" ht="15" hidden="false" customHeight="false" outlineLevel="0" collapsed="false">
      <c r="A5" s="3" t="str">
        <f aca="false">"W"&amp;WEEKNUM(B5,21)</f>
        <v>W41</v>
      </c>
      <c r="B5" s="4" t="n">
        <v>46300</v>
      </c>
      <c r="C5" s="5"/>
      <c r="D5" s="3"/>
      <c r="E5" s="3"/>
      <c r="F5" s="3"/>
      <c r="G5" s="3" t="s">
        <v>20</v>
      </c>
      <c r="H5" s="3" t="s">
        <v>21</v>
      </c>
      <c r="I5" s="5" t="s">
        <v>22</v>
      </c>
      <c r="J5" s="3" t="s">
        <v>30</v>
      </c>
      <c r="K5" s="5" t="s">
        <v>31</v>
      </c>
      <c r="L5" s="5" t="s">
        <v>32</v>
      </c>
      <c r="M5" s="6" t="n">
        <v>0.3125</v>
      </c>
      <c r="N5" s="6" t="n">
        <v>0.645833333333333</v>
      </c>
      <c r="O5" s="7" t="n">
        <f aca="false">(N5-M5)*24</f>
        <v>8</v>
      </c>
      <c r="P5" s="3" t="n">
        <v>11</v>
      </c>
      <c r="Q5" s="7" t="n">
        <f aca="false">P5*O5</f>
        <v>88</v>
      </c>
      <c r="R5" s="3" t="s">
        <v>33</v>
      </c>
    </row>
    <row r="6" customFormat="false" ht="15" hidden="false" customHeight="false" outlineLevel="0" collapsed="false">
      <c r="A6" s="3" t="str">
        <f aca="false">"W"&amp;WEEKNUM(B6,21)</f>
        <v>W41</v>
      </c>
      <c r="B6" s="4" t="n">
        <v>46300</v>
      </c>
      <c r="C6" s="5"/>
      <c r="D6" s="3"/>
      <c r="E6" s="3"/>
      <c r="F6" s="3"/>
      <c r="G6" s="3" t="s">
        <v>20</v>
      </c>
      <c r="H6" s="3" t="s">
        <v>21</v>
      </c>
      <c r="I6" s="5" t="s">
        <v>22</v>
      </c>
      <c r="J6" s="3" t="s">
        <v>30</v>
      </c>
      <c r="K6" s="5" t="s">
        <v>31</v>
      </c>
      <c r="L6" s="5" t="s">
        <v>34</v>
      </c>
      <c r="M6" s="6" t="n">
        <v>0.645833333333333</v>
      </c>
      <c r="N6" s="6" t="n">
        <v>0.8125</v>
      </c>
      <c r="O6" s="7" t="n">
        <f aca="false">(N6-M6)*24</f>
        <v>4</v>
      </c>
      <c r="P6" s="3" t="n">
        <v>8</v>
      </c>
      <c r="Q6" s="7" t="n">
        <f aca="false">P6*O6</f>
        <v>32</v>
      </c>
      <c r="R6" s="3" t="s">
        <v>33</v>
      </c>
    </row>
    <row r="7" customFormat="false" ht="25.35" hidden="false" customHeight="false" outlineLevel="0" collapsed="false">
      <c r="A7" s="3" t="str">
        <f aca="false">"W"&amp;WEEKNUM(B7,21)</f>
        <v>W41</v>
      </c>
      <c r="B7" s="4" t="n">
        <v>46301</v>
      </c>
      <c r="C7" s="5" t="s">
        <v>27</v>
      </c>
      <c r="D7" s="3"/>
      <c r="E7" s="3" t="n">
        <v>50</v>
      </c>
      <c r="F7" s="3"/>
      <c r="G7" s="3" t="s">
        <v>20</v>
      </c>
      <c r="H7" s="3" t="s">
        <v>21</v>
      </c>
      <c r="I7" s="5" t="s">
        <v>22</v>
      </c>
      <c r="J7" s="3" t="s">
        <v>23</v>
      </c>
      <c r="K7" s="5" t="s">
        <v>35</v>
      </c>
      <c r="L7" s="5" t="s">
        <v>36</v>
      </c>
      <c r="M7" s="6" t="n">
        <v>0.291666666666667</v>
      </c>
      <c r="N7" s="6" t="n">
        <v>0.75</v>
      </c>
      <c r="O7" s="7" t="n">
        <f aca="false">(N7-M7)*24</f>
        <v>11</v>
      </c>
      <c r="P7" s="3" t="n">
        <v>5</v>
      </c>
      <c r="Q7" s="7" t="n">
        <f aca="false">P7*O7</f>
        <v>55</v>
      </c>
      <c r="R7" s="3" t="s">
        <v>26</v>
      </c>
    </row>
    <row r="8" customFormat="false" ht="15" hidden="false" customHeight="false" outlineLevel="0" collapsed="false">
      <c r="A8" s="3" t="str">
        <f aca="false">"W"&amp;WEEKNUM(B8,21)</f>
        <v>W41</v>
      </c>
      <c r="B8" s="4" t="n">
        <v>46301</v>
      </c>
      <c r="C8" s="5"/>
      <c r="D8" s="3"/>
      <c r="E8" s="3"/>
      <c r="F8" s="3"/>
      <c r="G8" s="3" t="s">
        <v>20</v>
      </c>
      <c r="H8" s="3" t="s">
        <v>21</v>
      </c>
      <c r="I8" s="5" t="s">
        <v>22</v>
      </c>
      <c r="J8" s="3" t="s">
        <v>30</v>
      </c>
      <c r="K8" s="5" t="s">
        <v>31</v>
      </c>
      <c r="L8" s="5" t="s">
        <v>32</v>
      </c>
      <c r="M8" s="6" t="n">
        <v>0.3125</v>
      </c>
      <c r="N8" s="6" t="n">
        <v>0.645833333333333</v>
      </c>
      <c r="O8" s="7" t="n">
        <f aca="false">(N8-M8)*24</f>
        <v>8</v>
      </c>
      <c r="P8" s="3" t="n">
        <v>11</v>
      </c>
      <c r="Q8" s="7" t="n">
        <f aca="false">P8*O8</f>
        <v>88</v>
      </c>
      <c r="R8" s="3" t="s">
        <v>33</v>
      </c>
    </row>
    <row r="9" customFormat="false" ht="15" hidden="false" customHeight="false" outlineLevel="0" collapsed="false">
      <c r="A9" s="3" t="str">
        <f aca="false">"W"&amp;WEEKNUM(B9,21)</f>
        <v>W41</v>
      </c>
      <c r="B9" s="4" t="n">
        <v>46301</v>
      </c>
      <c r="C9" s="5"/>
      <c r="D9" s="3"/>
      <c r="E9" s="3"/>
      <c r="F9" s="3"/>
      <c r="G9" s="3" t="s">
        <v>20</v>
      </c>
      <c r="H9" s="3" t="s">
        <v>21</v>
      </c>
      <c r="I9" s="5" t="s">
        <v>22</v>
      </c>
      <c r="J9" s="3" t="s">
        <v>30</v>
      </c>
      <c r="K9" s="5" t="s">
        <v>31</v>
      </c>
      <c r="L9" s="5" t="s">
        <v>34</v>
      </c>
      <c r="M9" s="6" t="n">
        <v>0.645833333333333</v>
      </c>
      <c r="N9" s="6" t="n">
        <v>0.8125</v>
      </c>
      <c r="O9" s="7" t="n">
        <f aca="false">(N9-M9)*24</f>
        <v>4</v>
      </c>
      <c r="P9" s="3" t="n">
        <v>8</v>
      </c>
      <c r="Q9" s="7" t="n">
        <f aca="false">P9*O9</f>
        <v>32</v>
      </c>
      <c r="R9" s="3" t="s">
        <v>33</v>
      </c>
    </row>
    <row r="10" customFormat="false" ht="15" hidden="false" customHeight="false" outlineLevel="0" collapsed="false">
      <c r="A10" s="3" t="str">
        <f aca="false">"W"&amp;WEEKNUM(B10,21)</f>
        <v>W41</v>
      </c>
      <c r="B10" s="4" t="n">
        <v>46302</v>
      </c>
      <c r="C10" s="5"/>
      <c r="D10" s="3"/>
      <c r="E10" s="3"/>
      <c r="F10" s="3"/>
      <c r="G10" s="3" t="s">
        <v>20</v>
      </c>
      <c r="H10" s="3" t="s">
        <v>21</v>
      </c>
      <c r="I10" s="5" t="s">
        <v>22</v>
      </c>
      <c r="J10" s="3" t="s">
        <v>30</v>
      </c>
      <c r="K10" s="5" t="s">
        <v>31</v>
      </c>
      <c r="L10" s="5" t="s">
        <v>32</v>
      </c>
      <c r="M10" s="6" t="n">
        <v>0.3125</v>
      </c>
      <c r="N10" s="6" t="n">
        <v>0.645833333333333</v>
      </c>
      <c r="O10" s="7" t="n">
        <f aca="false">(N10-M10)*24</f>
        <v>8</v>
      </c>
      <c r="P10" s="3" t="n">
        <v>10</v>
      </c>
      <c r="Q10" s="7" t="n">
        <f aca="false">P10*O10</f>
        <v>80</v>
      </c>
      <c r="R10" s="3" t="s">
        <v>33</v>
      </c>
    </row>
    <row r="11" customFormat="false" ht="15" hidden="false" customHeight="false" outlineLevel="0" collapsed="false">
      <c r="A11" s="3" t="str">
        <f aca="false">"W"&amp;WEEKNUM(B11,21)</f>
        <v>W41</v>
      </c>
      <c r="B11" s="4" t="n">
        <v>46302</v>
      </c>
      <c r="C11" s="5"/>
      <c r="D11" s="3"/>
      <c r="E11" s="3"/>
      <c r="F11" s="3"/>
      <c r="G11" s="3" t="s">
        <v>20</v>
      </c>
      <c r="H11" s="3" t="s">
        <v>21</v>
      </c>
      <c r="I11" s="5" t="s">
        <v>22</v>
      </c>
      <c r="J11" s="3" t="s">
        <v>30</v>
      </c>
      <c r="K11" s="5" t="s">
        <v>31</v>
      </c>
      <c r="L11" s="5" t="s">
        <v>34</v>
      </c>
      <c r="M11" s="6" t="n">
        <v>0.645833333333333</v>
      </c>
      <c r="N11" s="6" t="n">
        <v>0.8125</v>
      </c>
      <c r="O11" s="7" t="n">
        <f aca="false">(N11-M11)*24</f>
        <v>4</v>
      </c>
      <c r="P11" s="3" t="n">
        <v>8</v>
      </c>
      <c r="Q11" s="7" t="n">
        <f aca="false">P11*O11</f>
        <v>32</v>
      </c>
      <c r="R11" s="3" t="s">
        <v>33</v>
      </c>
    </row>
    <row r="12" customFormat="false" ht="15" hidden="false" customHeight="false" outlineLevel="0" collapsed="false">
      <c r="A12" s="3" t="str">
        <f aca="false">"W"&amp;WEEKNUM(B12,21)</f>
        <v>W41</v>
      </c>
      <c r="B12" s="4" t="n">
        <v>46303</v>
      </c>
      <c r="C12" s="5"/>
      <c r="D12" s="3"/>
      <c r="E12" s="3"/>
      <c r="F12" s="3"/>
      <c r="G12" s="3" t="s">
        <v>20</v>
      </c>
      <c r="H12" s="3" t="s">
        <v>21</v>
      </c>
      <c r="I12" s="5" t="s">
        <v>22</v>
      </c>
      <c r="J12" s="3" t="s">
        <v>30</v>
      </c>
      <c r="K12" s="5" t="s">
        <v>31</v>
      </c>
      <c r="L12" s="5" t="s">
        <v>32</v>
      </c>
      <c r="M12" s="6" t="n">
        <v>0.3125</v>
      </c>
      <c r="N12" s="6" t="n">
        <v>0.645833333333333</v>
      </c>
      <c r="O12" s="7" t="n">
        <f aca="false">(N12-M12)*24</f>
        <v>8</v>
      </c>
      <c r="P12" s="3" t="n">
        <v>10</v>
      </c>
      <c r="Q12" s="7" t="n">
        <f aca="false">P12*O12</f>
        <v>80</v>
      </c>
      <c r="R12" s="3" t="s">
        <v>33</v>
      </c>
    </row>
    <row r="13" customFormat="false" ht="15" hidden="false" customHeight="false" outlineLevel="0" collapsed="false">
      <c r="A13" s="3" t="str">
        <f aca="false">"W"&amp;WEEKNUM(B13,21)</f>
        <v>W41</v>
      </c>
      <c r="B13" s="4" t="n">
        <v>46303</v>
      </c>
      <c r="C13" s="5"/>
      <c r="D13" s="3"/>
      <c r="E13" s="3"/>
      <c r="F13" s="3"/>
      <c r="G13" s="3" t="s">
        <v>20</v>
      </c>
      <c r="H13" s="3" t="s">
        <v>21</v>
      </c>
      <c r="I13" s="5" t="s">
        <v>22</v>
      </c>
      <c r="J13" s="3" t="s">
        <v>30</v>
      </c>
      <c r="K13" s="5" t="s">
        <v>31</v>
      </c>
      <c r="L13" s="5" t="s">
        <v>34</v>
      </c>
      <c r="M13" s="6" t="n">
        <v>0.645833333333333</v>
      </c>
      <c r="N13" s="6" t="n">
        <v>0.8125</v>
      </c>
      <c r="O13" s="7" t="n">
        <f aca="false">(N13-M13)*24</f>
        <v>4</v>
      </c>
      <c r="P13" s="3" t="n">
        <v>6</v>
      </c>
      <c r="Q13" s="7" t="n">
        <f aca="false">P13*O13</f>
        <v>24</v>
      </c>
      <c r="R13" s="3" t="s">
        <v>33</v>
      </c>
    </row>
    <row r="14" customFormat="false" ht="15" hidden="false" customHeight="false" outlineLevel="0" collapsed="false">
      <c r="A14" s="3" t="str">
        <f aca="false">"W"&amp;WEEKNUM(B14,21)</f>
        <v>W41</v>
      </c>
      <c r="B14" s="4" t="n">
        <v>46303</v>
      </c>
      <c r="C14" s="5" t="s">
        <v>37</v>
      </c>
      <c r="D14" s="3"/>
      <c r="E14" s="3" t="n">
        <v>1</v>
      </c>
      <c r="F14" s="3"/>
      <c r="G14" s="3" t="s">
        <v>20</v>
      </c>
      <c r="H14" s="3" t="s">
        <v>21</v>
      </c>
      <c r="I14" s="5" t="s">
        <v>22</v>
      </c>
      <c r="J14" s="3" t="s">
        <v>38</v>
      </c>
      <c r="K14" s="5" t="s">
        <v>39</v>
      </c>
      <c r="L14" s="5" t="s">
        <v>40</v>
      </c>
      <c r="M14" s="6" t="n">
        <v>0.791666666666667</v>
      </c>
      <c r="N14" s="6" t="n">
        <v>0.793055555555556</v>
      </c>
      <c r="O14" s="7" t="n">
        <f aca="false">(N14-M14)*24</f>
        <v>0.0333333333333333</v>
      </c>
      <c r="P14" s="3" t="n">
        <v>3</v>
      </c>
      <c r="Q14" s="7" t="n">
        <f aca="false">P14*O14</f>
        <v>0.1</v>
      </c>
      <c r="R14" s="3" t="s">
        <v>41</v>
      </c>
    </row>
    <row r="15" customFormat="false" ht="15" hidden="false" customHeight="false" outlineLevel="0" collapsed="false">
      <c r="A15" s="3" t="str">
        <f aca="false">"W"&amp;WEEKNUM(B15,21)</f>
        <v>W41</v>
      </c>
      <c r="B15" s="4" t="n">
        <v>46303</v>
      </c>
      <c r="C15" s="5" t="s">
        <v>42</v>
      </c>
      <c r="D15" s="3"/>
      <c r="E15" s="3" t="n">
        <v>1</v>
      </c>
      <c r="F15" s="3"/>
      <c r="G15" s="3" t="s">
        <v>20</v>
      </c>
      <c r="H15" s="3" t="s">
        <v>21</v>
      </c>
      <c r="I15" s="5" t="s">
        <v>22</v>
      </c>
      <c r="J15" s="3" t="s">
        <v>38</v>
      </c>
      <c r="K15" s="5" t="s">
        <v>43</v>
      </c>
      <c r="L15" s="5" t="s">
        <v>44</v>
      </c>
      <c r="M15" s="6" t="n">
        <v>0.795138888888889</v>
      </c>
      <c r="N15" s="6" t="n">
        <v>0.796527777777778</v>
      </c>
      <c r="O15" s="7" t="n">
        <f aca="false">(N15-M15)*24</f>
        <v>0.0333333333333333</v>
      </c>
      <c r="P15" s="3" t="n">
        <v>3</v>
      </c>
      <c r="Q15" s="7" t="n">
        <f aca="false">P15*O15</f>
        <v>0.1</v>
      </c>
      <c r="R15" s="3" t="s">
        <v>41</v>
      </c>
    </row>
    <row r="16" customFormat="false" ht="15" hidden="false" customHeight="false" outlineLevel="0" collapsed="false">
      <c r="A16" s="3" t="str">
        <f aca="false">"W"&amp;WEEKNUM(B16,21)</f>
        <v>W41</v>
      </c>
      <c r="B16" s="4" t="n">
        <v>46304</v>
      </c>
      <c r="C16" s="5"/>
      <c r="D16" s="3"/>
      <c r="E16" s="3"/>
      <c r="F16" s="3"/>
      <c r="G16" s="3" t="s">
        <v>20</v>
      </c>
      <c r="H16" s="3" t="s">
        <v>21</v>
      </c>
      <c r="I16" s="5" t="s">
        <v>22</v>
      </c>
      <c r="J16" s="3" t="s">
        <v>30</v>
      </c>
      <c r="K16" s="5" t="s">
        <v>31</v>
      </c>
      <c r="L16" s="5" t="s">
        <v>32</v>
      </c>
      <c r="M16" s="6" t="n">
        <v>0.3125</v>
      </c>
      <c r="N16" s="6" t="n">
        <v>0.645833333333333</v>
      </c>
      <c r="O16" s="7" t="n">
        <f aca="false">(N16-M16)*24</f>
        <v>8</v>
      </c>
      <c r="P16" s="3" t="n">
        <v>12</v>
      </c>
      <c r="Q16" s="7" t="n">
        <f aca="false">P16*O16</f>
        <v>96</v>
      </c>
      <c r="R16" s="3" t="s">
        <v>33</v>
      </c>
    </row>
    <row r="17" customFormat="false" ht="15" hidden="false" customHeight="false" outlineLevel="0" collapsed="false">
      <c r="A17" s="3" t="str">
        <f aca="false">"W"&amp;WEEKNUM(B17,21)</f>
        <v>W41</v>
      </c>
      <c r="B17" s="4" t="n">
        <v>46304</v>
      </c>
      <c r="C17" s="5"/>
      <c r="D17" s="3"/>
      <c r="E17" s="3"/>
      <c r="F17" s="3"/>
      <c r="G17" s="3" t="s">
        <v>20</v>
      </c>
      <c r="H17" s="3" t="s">
        <v>21</v>
      </c>
      <c r="I17" s="5" t="s">
        <v>22</v>
      </c>
      <c r="J17" s="3" t="s">
        <v>30</v>
      </c>
      <c r="K17" s="5" t="s">
        <v>31</v>
      </c>
      <c r="L17" s="5" t="s">
        <v>34</v>
      </c>
      <c r="M17" s="6" t="n">
        <v>0.645833333333333</v>
      </c>
      <c r="N17" s="6" t="n">
        <v>0.8125</v>
      </c>
      <c r="O17" s="7" t="n">
        <f aca="false">(N17-M17)*24</f>
        <v>4</v>
      </c>
      <c r="P17" s="3" t="n">
        <v>9</v>
      </c>
      <c r="Q17" s="7" t="n">
        <f aca="false">P17*O17</f>
        <v>36</v>
      </c>
      <c r="R17" s="3" t="s">
        <v>33</v>
      </c>
    </row>
    <row r="18" customFormat="false" ht="15" hidden="false" customHeight="false" outlineLevel="0" collapsed="false">
      <c r="A18" s="3" t="str">
        <f aca="false">"W"&amp;WEEKNUM(B18,21)</f>
        <v>W41</v>
      </c>
      <c r="B18" s="4" t="n">
        <v>46304</v>
      </c>
      <c r="C18" s="5" t="s">
        <v>45</v>
      </c>
      <c r="D18" s="3"/>
      <c r="E18" s="3" t="n">
        <v>1</v>
      </c>
      <c r="F18" s="3"/>
      <c r="G18" s="3" t="s">
        <v>20</v>
      </c>
      <c r="H18" s="3" t="s">
        <v>21</v>
      </c>
      <c r="I18" s="5" t="s">
        <v>22</v>
      </c>
      <c r="J18" s="3" t="s">
        <v>38</v>
      </c>
      <c r="K18" s="5" t="s">
        <v>46</v>
      </c>
      <c r="L18" s="5" t="s">
        <v>47</v>
      </c>
      <c r="M18" s="6" t="n">
        <v>0.333333333333333</v>
      </c>
      <c r="N18" s="6" t="n">
        <v>0.334722222222222</v>
      </c>
      <c r="O18" s="7" t="n">
        <f aca="false">(N18-M18)*24</f>
        <v>0.0333333333333333</v>
      </c>
      <c r="P18" s="3" t="n">
        <v>3</v>
      </c>
      <c r="Q18" s="7" t="n">
        <f aca="false">P18*O18</f>
        <v>0.1</v>
      </c>
      <c r="R18" s="3" t="s">
        <v>41</v>
      </c>
    </row>
    <row r="19" customFormat="false" ht="15" hidden="false" customHeight="false" outlineLevel="0" collapsed="false">
      <c r="A19" s="3" t="str">
        <f aca="false">"W"&amp;WEEKNUM(B19,21)</f>
        <v>W41</v>
      </c>
      <c r="B19" s="4" t="n">
        <v>46304</v>
      </c>
      <c r="C19" s="5" t="s">
        <v>48</v>
      </c>
      <c r="D19" s="3"/>
      <c r="E19" s="3" t="n">
        <v>1</v>
      </c>
      <c r="F19" s="3"/>
      <c r="G19" s="3" t="s">
        <v>20</v>
      </c>
      <c r="H19" s="3" t="s">
        <v>21</v>
      </c>
      <c r="I19" s="5" t="s">
        <v>22</v>
      </c>
      <c r="J19" s="3" t="s">
        <v>38</v>
      </c>
      <c r="K19" s="5" t="s">
        <v>49</v>
      </c>
      <c r="L19" s="5" t="s">
        <v>50</v>
      </c>
      <c r="M19" s="6" t="n">
        <v>0.334722222222222</v>
      </c>
      <c r="N19" s="6" t="n">
        <v>0.336111111111111</v>
      </c>
      <c r="O19" s="7" t="n">
        <f aca="false">(N19-M19)*24</f>
        <v>0.0333333333333333</v>
      </c>
      <c r="P19" s="3" t="n">
        <v>3</v>
      </c>
      <c r="Q19" s="7" t="n">
        <f aca="false">P19*O19</f>
        <v>0.1</v>
      </c>
      <c r="R19" s="3" t="s">
        <v>41</v>
      </c>
    </row>
    <row r="20" customFormat="false" ht="15" hidden="false" customHeight="false" outlineLevel="0" collapsed="false">
      <c r="A20" s="3" t="str">
        <f aca="false">"W"&amp;WEEKNUM(B20,21)</f>
        <v>W41</v>
      </c>
      <c r="B20" s="4" t="n">
        <v>46304</v>
      </c>
      <c r="C20" s="5" t="s">
        <v>51</v>
      </c>
      <c r="D20" s="3"/>
      <c r="E20" s="3" t="n">
        <v>4</v>
      </c>
      <c r="F20" s="3"/>
      <c r="G20" s="3" t="s">
        <v>20</v>
      </c>
      <c r="H20" s="3" t="s">
        <v>21</v>
      </c>
      <c r="I20" s="5" t="s">
        <v>22</v>
      </c>
      <c r="J20" s="3" t="s">
        <v>52</v>
      </c>
      <c r="K20" s="5" t="s">
        <v>53</v>
      </c>
      <c r="L20" s="5" t="s">
        <v>54</v>
      </c>
      <c r="M20" s="6" t="n">
        <v>0.340277777777778</v>
      </c>
      <c r="N20" s="6" t="n">
        <v>0.344444444444444</v>
      </c>
      <c r="O20" s="7" t="n">
        <f aca="false">(N20-M20)*24</f>
        <v>0.1</v>
      </c>
      <c r="P20" s="3" t="n">
        <v>3</v>
      </c>
      <c r="Q20" s="7" t="n">
        <f aca="false">P20*O20</f>
        <v>0.3</v>
      </c>
      <c r="R20" s="3" t="s">
        <v>41</v>
      </c>
    </row>
    <row r="21" customFormat="false" ht="15" hidden="false" customHeight="false" outlineLevel="0" collapsed="false">
      <c r="A21" s="3" t="str">
        <f aca="false">"W"&amp;WEEKNUM(B21,21)</f>
        <v>W41</v>
      </c>
      <c r="B21" s="4" t="n">
        <v>46304</v>
      </c>
      <c r="C21" s="5" t="s">
        <v>55</v>
      </c>
      <c r="D21" s="3"/>
      <c r="E21" s="3" t="n">
        <v>1</v>
      </c>
      <c r="F21" s="3"/>
      <c r="G21" s="3" t="s">
        <v>20</v>
      </c>
      <c r="H21" s="3" t="s">
        <v>21</v>
      </c>
      <c r="I21" s="5" t="s">
        <v>22</v>
      </c>
      <c r="J21" s="3" t="s">
        <v>38</v>
      </c>
      <c r="K21" s="5" t="s">
        <v>56</v>
      </c>
      <c r="L21" s="5" t="s">
        <v>57</v>
      </c>
      <c r="M21" s="6" t="n">
        <v>0.75</v>
      </c>
      <c r="N21" s="6" t="n">
        <v>0.751388888888889</v>
      </c>
      <c r="O21" s="7" t="n">
        <f aca="false">(N21-M21)*24</f>
        <v>0.0333333333333333</v>
      </c>
      <c r="P21" s="3" t="n">
        <v>3</v>
      </c>
      <c r="Q21" s="7" t="n">
        <f aca="false">P21*O21</f>
        <v>0.1</v>
      </c>
      <c r="R21" s="3" t="s">
        <v>41</v>
      </c>
    </row>
    <row r="22" customFormat="false" ht="15" hidden="false" customHeight="false" outlineLevel="0" collapsed="false">
      <c r="A22" s="3" t="str">
        <f aca="false">"W"&amp;WEEKNUM(B22,21)</f>
        <v>W41</v>
      </c>
      <c r="B22" s="4" t="n">
        <v>46305</v>
      </c>
      <c r="C22" s="5"/>
      <c r="D22" s="3"/>
      <c r="E22" s="3"/>
      <c r="F22" s="3"/>
      <c r="G22" s="3" t="s">
        <v>20</v>
      </c>
      <c r="H22" s="3" t="s">
        <v>21</v>
      </c>
      <c r="I22" s="5" t="s">
        <v>22</v>
      </c>
      <c r="J22" s="3" t="s">
        <v>30</v>
      </c>
      <c r="K22" s="5" t="s">
        <v>31</v>
      </c>
      <c r="L22" s="5" t="s">
        <v>32</v>
      </c>
      <c r="M22" s="6" t="n">
        <v>0.3125</v>
      </c>
      <c r="N22" s="6" t="n">
        <v>0.645833333333333</v>
      </c>
      <c r="O22" s="7" t="n">
        <f aca="false">(N22-M22)*24</f>
        <v>8</v>
      </c>
      <c r="P22" s="3" t="n">
        <v>10</v>
      </c>
      <c r="Q22" s="7" t="n">
        <f aca="false">P22*O22</f>
        <v>80</v>
      </c>
      <c r="R22" s="3" t="s">
        <v>33</v>
      </c>
    </row>
    <row r="23" customFormat="false" ht="15" hidden="false" customHeight="false" outlineLevel="0" collapsed="false">
      <c r="A23" s="3" t="str">
        <f aca="false">"W"&amp;WEEKNUM(B23,21)</f>
        <v>W41</v>
      </c>
      <c r="B23" s="4" t="n">
        <v>46305</v>
      </c>
      <c r="C23" s="5"/>
      <c r="D23" s="3"/>
      <c r="E23" s="3"/>
      <c r="F23" s="3"/>
      <c r="G23" s="3" t="s">
        <v>20</v>
      </c>
      <c r="H23" s="3" t="s">
        <v>21</v>
      </c>
      <c r="I23" s="5" t="s">
        <v>22</v>
      </c>
      <c r="J23" s="3" t="s">
        <v>30</v>
      </c>
      <c r="K23" s="5" t="s">
        <v>31</v>
      </c>
      <c r="L23" s="5" t="s">
        <v>34</v>
      </c>
      <c r="M23" s="6" t="n">
        <v>0.645833333333333</v>
      </c>
      <c r="N23" s="6" t="n">
        <v>0.8125</v>
      </c>
      <c r="O23" s="7" t="n">
        <f aca="false">(N23-M23)*24</f>
        <v>4</v>
      </c>
      <c r="P23" s="3" t="n">
        <v>9</v>
      </c>
      <c r="Q23" s="7" t="n">
        <f aca="false">P23*O23</f>
        <v>36</v>
      </c>
      <c r="R23" s="3" t="s">
        <v>33</v>
      </c>
    </row>
    <row r="24" customFormat="false" ht="15" hidden="false" customHeight="false" outlineLevel="0" collapsed="false">
      <c r="A24" s="3" t="str">
        <f aca="false">"W"&amp;WEEKNUM(B24,21)</f>
        <v>W41</v>
      </c>
      <c r="B24" s="4" t="n">
        <v>46305</v>
      </c>
      <c r="C24" s="5" t="s">
        <v>58</v>
      </c>
      <c r="D24" s="3"/>
      <c r="E24" s="3" t="n">
        <v>150</v>
      </c>
      <c r="F24" s="3"/>
      <c r="G24" s="3" t="s">
        <v>20</v>
      </c>
      <c r="H24" s="3" t="s">
        <v>21</v>
      </c>
      <c r="I24" s="5" t="s">
        <v>22</v>
      </c>
      <c r="J24" s="3" t="s">
        <v>59</v>
      </c>
      <c r="K24" s="5" t="s">
        <v>60</v>
      </c>
      <c r="L24" s="5" t="s">
        <v>61</v>
      </c>
      <c r="M24" s="6" t="n">
        <v>0.375</v>
      </c>
      <c r="N24" s="6" t="n">
        <v>0.4375</v>
      </c>
      <c r="O24" s="7" t="n">
        <f aca="false">(N24-M24)*24</f>
        <v>1.5</v>
      </c>
      <c r="P24" s="3" t="n">
        <v>2</v>
      </c>
      <c r="Q24" s="7" t="n">
        <f aca="false">P24*O24</f>
        <v>3</v>
      </c>
      <c r="R24" s="3" t="s">
        <v>62</v>
      </c>
    </row>
    <row r="25" customFormat="false" ht="15" hidden="false" customHeight="false" outlineLevel="0" collapsed="false">
      <c r="A25" s="8" t="str">
        <f aca="false">"W"&amp;WEEKNUM(B25,21)</f>
        <v>W41</v>
      </c>
      <c r="B25" s="9" t="n">
        <v>46306</v>
      </c>
      <c r="C25" s="10"/>
      <c r="D25" s="8"/>
      <c r="E25" s="8"/>
      <c r="F25" s="8"/>
      <c r="G25" s="8" t="s">
        <v>20</v>
      </c>
      <c r="H25" s="8" t="s">
        <v>21</v>
      </c>
      <c r="I25" s="10" t="s">
        <v>22</v>
      </c>
      <c r="J25" s="8" t="s">
        <v>30</v>
      </c>
      <c r="K25" s="10" t="s">
        <v>31</v>
      </c>
      <c r="L25" s="10" t="s">
        <v>32</v>
      </c>
      <c r="M25" s="11" t="n">
        <v>0.3125</v>
      </c>
      <c r="N25" s="11" t="n">
        <v>0.645833333333333</v>
      </c>
      <c r="O25" s="12" t="n">
        <f aca="false">(N25-M25)*24</f>
        <v>8</v>
      </c>
      <c r="P25" s="8" t="n">
        <v>9</v>
      </c>
      <c r="Q25" s="12" t="n">
        <f aca="false">P25*O25</f>
        <v>72</v>
      </c>
      <c r="R25" s="8" t="s">
        <v>33</v>
      </c>
    </row>
    <row r="26" customFormat="false" ht="25.35" hidden="false" customHeight="false" outlineLevel="0" collapsed="false">
      <c r="A26" s="3" t="str">
        <f aca="false">"W"&amp;WEEKNUM(B26,21)</f>
        <v>W42</v>
      </c>
      <c r="B26" s="4" t="n">
        <v>46307</v>
      </c>
      <c r="C26" s="5"/>
      <c r="D26" s="3"/>
      <c r="E26" s="3"/>
      <c r="F26" s="3"/>
      <c r="G26" s="3" t="s">
        <v>20</v>
      </c>
      <c r="H26" s="3" t="s">
        <v>21</v>
      </c>
      <c r="I26" s="5" t="s">
        <v>22</v>
      </c>
      <c r="J26" s="3" t="s">
        <v>52</v>
      </c>
      <c r="K26" s="5" t="s">
        <v>63</v>
      </c>
      <c r="L26" s="5" t="s">
        <v>64</v>
      </c>
      <c r="M26" s="6" t="n">
        <v>0.3125</v>
      </c>
      <c r="N26" s="6" t="n">
        <v>0.625</v>
      </c>
      <c r="O26" s="7" t="n">
        <f aca="false">(N26-M26)*24</f>
        <v>7.5</v>
      </c>
      <c r="P26" s="3" t="n">
        <v>1</v>
      </c>
      <c r="Q26" s="7" t="n">
        <f aca="false">P26*O26</f>
        <v>7.5</v>
      </c>
      <c r="R26" s="3" t="s">
        <v>65</v>
      </c>
    </row>
    <row r="27" customFormat="false" ht="37.3" hidden="false" customHeight="false" outlineLevel="0" collapsed="false">
      <c r="A27" s="3" t="str">
        <f aca="false">"W"&amp;WEEKNUM(B27,21)</f>
        <v>W42</v>
      </c>
      <c r="B27" s="4" t="n">
        <v>46307</v>
      </c>
      <c r="C27" s="5" t="s">
        <v>66</v>
      </c>
      <c r="D27" s="3"/>
      <c r="E27" s="3" t="n">
        <v>2522</v>
      </c>
      <c r="F27" s="3"/>
      <c r="G27" s="3" t="s">
        <v>20</v>
      </c>
      <c r="H27" s="3" t="s">
        <v>21</v>
      </c>
      <c r="I27" s="5" t="s">
        <v>22</v>
      </c>
      <c r="J27" s="3" t="s">
        <v>52</v>
      </c>
      <c r="K27" s="5" t="s">
        <v>63</v>
      </c>
      <c r="L27" s="5" t="s">
        <v>64</v>
      </c>
      <c r="M27" s="6" t="n">
        <v>0.395833333333333</v>
      </c>
      <c r="N27" s="6" t="n">
        <v>0.833333333333333</v>
      </c>
      <c r="O27" s="7" t="n">
        <f aca="false">(N27-M27)*24</f>
        <v>10.5</v>
      </c>
      <c r="P27" s="3" t="n">
        <v>1</v>
      </c>
      <c r="Q27" s="7" t="n">
        <f aca="false">P27*O27</f>
        <v>10.5</v>
      </c>
      <c r="R27" s="3" t="s">
        <v>65</v>
      </c>
    </row>
    <row r="28" customFormat="false" ht="15" hidden="false" customHeight="false" outlineLevel="0" collapsed="false">
      <c r="A28" s="3" t="str">
        <f aca="false">"W"&amp;WEEKNUM(B28,21)</f>
        <v>W42</v>
      </c>
      <c r="B28" s="4" t="n">
        <v>46307</v>
      </c>
      <c r="C28" s="5"/>
      <c r="D28" s="3"/>
      <c r="E28" s="3"/>
      <c r="F28" s="3"/>
      <c r="G28" s="3" t="s">
        <v>67</v>
      </c>
      <c r="H28" s="3" t="s">
        <v>21</v>
      </c>
      <c r="I28" s="5" t="s">
        <v>22</v>
      </c>
      <c r="J28" s="3" t="s">
        <v>30</v>
      </c>
      <c r="K28" s="5" t="s">
        <v>68</v>
      </c>
      <c r="L28" s="5" t="s">
        <v>69</v>
      </c>
      <c r="M28" s="6" t="n">
        <v>0.3125</v>
      </c>
      <c r="N28" s="6" t="n">
        <v>0.8125</v>
      </c>
      <c r="O28" s="7" t="n">
        <f aca="false">(N28-M28)*24</f>
        <v>12</v>
      </c>
      <c r="P28" s="3" t="n">
        <v>12</v>
      </c>
      <c r="Q28" s="7" t="n">
        <f aca="false">P28*O28</f>
        <v>144</v>
      </c>
      <c r="R28" s="3" t="s">
        <v>70</v>
      </c>
    </row>
    <row r="29" customFormat="false" ht="15" hidden="false" customHeight="false" outlineLevel="0" collapsed="false">
      <c r="A29" s="3" t="str">
        <f aca="false">"W"&amp;WEEKNUM(B29,21)</f>
        <v>W42</v>
      </c>
      <c r="B29" s="4" t="n">
        <v>46308</v>
      </c>
      <c r="C29" s="5" t="s">
        <v>71</v>
      </c>
      <c r="D29" s="3"/>
      <c r="E29" s="3" t="n">
        <v>9</v>
      </c>
      <c r="F29" s="3"/>
      <c r="G29" s="3" t="s">
        <v>20</v>
      </c>
      <c r="H29" s="3" t="s">
        <v>21</v>
      </c>
      <c r="I29" s="5" t="s">
        <v>22</v>
      </c>
      <c r="J29" s="3" t="s">
        <v>59</v>
      </c>
      <c r="K29" s="5" t="s">
        <v>72</v>
      </c>
      <c r="L29" s="5" t="s">
        <v>73</v>
      </c>
      <c r="M29" s="6" t="n">
        <v>0.645833333333333</v>
      </c>
      <c r="N29" s="6" t="n">
        <v>0.833333333333333</v>
      </c>
      <c r="O29" s="7" t="n">
        <f aca="false">(N29-M29)*24</f>
        <v>4.5</v>
      </c>
      <c r="P29" s="3" t="n">
        <v>1</v>
      </c>
      <c r="Q29" s="7" t="n">
        <f aca="false">P29*O29</f>
        <v>4.5</v>
      </c>
      <c r="R29" s="3" t="s">
        <v>65</v>
      </c>
    </row>
    <row r="30" customFormat="false" ht="15" hidden="false" customHeight="false" outlineLevel="0" collapsed="false">
      <c r="A30" s="3" t="str">
        <f aca="false">"W"&amp;WEEKNUM(B30,21)</f>
        <v>W42</v>
      </c>
      <c r="B30" s="4" t="n">
        <v>46308</v>
      </c>
      <c r="C30" s="5"/>
      <c r="D30" s="3"/>
      <c r="E30" s="3"/>
      <c r="F30" s="3"/>
      <c r="G30" s="3" t="s">
        <v>67</v>
      </c>
      <c r="H30" s="3" t="s">
        <v>21</v>
      </c>
      <c r="I30" s="5" t="s">
        <v>22</v>
      </c>
      <c r="J30" s="3" t="s">
        <v>30</v>
      </c>
      <c r="K30" s="5" t="s">
        <v>68</v>
      </c>
      <c r="L30" s="5" t="s">
        <v>69</v>
      </c>
      <c r="M30" s="6" t="n">
        <v>0.3125</v>
      </c>
      <c r="N30" s="6" t="n">
        <v>0.8125</v>
      </c>
      <c r="O30" s="7" t="n">
        <f aca="false">(N30-M30)*24</f>
        <v>12</v>
      </c>
      <c r="P30" s="3" t="n">
        <v>12</v>
      </c>
      <c r="Q30" s="7" t="n">
        <f aca="false">P30*O30</f>
        <v>144</v>
      </c>
      <c r="R30" s="3" t="s">
        <v>70</v>
      </c>
    </row>
    <row r="31" customFormat="false" ht="25.35" hidden="false" customHeight="false" outlineLevel="0" collapsed="false">
      <c r="A31" s="3" t="str">
        <f aca="false">"W"&amp;WEEKNUM(B31,21)</f>
        <v>W42</v>
      </c>
      <c r="B31" s="4" t="n">
        <v>46309</v>
      </c>
      <c r="C31" s="5" t="s">
        <v>74</v>
      </c>
      <c r="D31" s="3"/>
      <c r="E31" s="3" t="n">
        <v>100</v>
      </c>
      <c r="F31" s="3"/>
      <c r="G31" s="3" t="s">
        <v>75</v>
      </c>
      <c r="H31" s="3" t="s">
        <v>21</v>
      </c>
      <c r="I31" s="5" t="s">
        <v>22</v>
      </c>
      <c r="J31" s="3" t="s">
        <v>76</v>
      </c>
      <c r="K31" s="5" t="s">
        <v>77</v>
      </c>
      <c r="L31" s="5" t="s">
        <v>78</v>
      </c>
      <c r="M31" s="6" t="n">
        <v>0.375</v>
      </c>
      <c r="N31" s="6" t="n">
        <v>0.416666666666667</v>
      </c>
      <c r="O31" s="7" t="n">
        <f aca="false">(N31-M31)*24</f>
        <v>1</v>
      </c>
      <c r="P31" s="3" t="n">
        <v>2</v>
      </c>
      <c r="Q31" s="7" t="n">
        <f aca="false">P31*O31</f>
        <v>2</v>
      </c>
      <c r="R31" s="3" t="s">
        <v>79</v>
      </c>
    </row>
    <row r="32" customFormat="false" ht="15" hidden="false" customHeight="false" outlineLevel="0" collapsed="false">
      <c r="A32" s="3" t="str">
        <f aca="false">"W"&amp;WEEKNUM(B32,21)</f>
        <v>W42</v>
      </c>
      <c r="B32" s="4" t="n">
        <v>46309</v>
      </c>
      <c r="C32" s="5"/>
      <c r="D32" s="3"/>
      <c r="E32" s="3"/>
      <c r="F32" s="3"/>
      <c r="G32" s="3" t="s">
        <v>67</v>
      </c>
      <c r="H32" s="3" t="s">
        <v>21</v>
      </c>
      <c r="I32" s="5" t="s">
        <v>22</v>
      </c>
      <c r="J32" s="3" t="s">
        <v>30</v>
      </c>
      <c r="K32" s="5" t="s">
        <v>68</v>
      </c>
      <c r="L32" s="5" t="s">
        <v>69</v>
      </c>
      <c r="M32" s="6" t="n">
        <v>0.3125</v>
      </c>
      <c r="N32" s="6" t="n">
        <v>0.8125</v>
      </c>
      <c r="O32" s="7" t="n">
        <f aca="false">(N32-M32)*24</f>
        <v>12</v>
      </c>
      <c r="P32" s="3" t="n">
        <v>12</v>
      </c>
      <c r="Q32" s="7" t="n">
        <f aca="false">P32*O32</f>
        <v>144</v>
      </c>
      <c r="R32" s="3" t="s">
        <v>70</v>
      </c>
    </row>
    <row r="33" customFormat="false" ht="15" hidden="false" customHeight="false" outlineLevel="0" collapsed="false">
      <c r="A33" s="3" t="str">
        <f aca="false">"W"&amp;WEEKNUM(B33,21)</f>
        <v>W42</v>
      </c>
      <c r="B33" s="4" t="n">
        <v>46310</v>
      </c>
      <c r="C33" s="5" t="s">
        <v>80</v>
      </c>
      <c r="D33" s="3"/>
      <c r="E33" s="3" t="n">
        <v>4</v>
      </c>
      <c r="F33" s="3"/>
      <c r="G33" s="3" t="s">
        <v>20</v>
      </c>
      <c r="H33" s="3" t="s">
        <v>21</v>
      </c>
      <c r="I33" s="5" t="s">
        <v>22</v>
      </c>
      <c r="J33" s="3" t="s">
        <v>76</v>
      </c>
      <c r="K33" s="5" t="s">
        <v>60</v>
      </c>
      <c r="L33" s="5" t="s">
        <v>80</v>
      </c>
      <c r="M33" s="6" t="n">
        <v>0.333333333333333</v>
      </c>
      <c r="N33" s="6" t="n">
        <v>0.347222222222222</v>
      </c>
      <c r="O33" s="7" t="n">
        <f aca="false">(N33-M33)*24</f>
        <v>0.333333333333333</v>
      </c>
      <c r="P33" s="3" t="n">
        <v>1</v>
      </c>
      <c r="Q33" s="7" t="n">
        <f aca="false">P33*O33</f>
        <v>0.333333333333333</v>
      </c>
      <c r="R33" s="3" t="s">
        <v>62</v>
      </c>
    </row>
    <row r="34" customFormat="false" ht="15" hidden="false" customHeight="false" outlineLevel="0" collapsed="false">
      <c r="A34" s="3" t="str">
        <f aca="false">"W"&amp;WEEKNUM(B34,21)</f>
        <v>W42</v>
      </c>
      <c r="B34" s="4" t="n">
        <v>46310</v>
      </c>
      <c r="C34" s="5"/>
      <c r="D34" s="3"/>
      <c r="E34" s="3"/>
      <c r="F34" s="3"/>
      <c r="G34" s="3" t="s">
        <v>67</v>
      </c>
      <c r="H34" s="3" t="s">
        <v>21</v>
      </c>
      <c r="I34" s="5" t="s">
        <v>22</v>
      </c>
      <c r="J34" s="3" t="s">
        <v>30</v>
      </c>
      <c r="K34" s="5" t="s">
        <v>68</v>
      </c>
      <c r="L34" s="5" t="s">
        <v>69</v>
      </c>
      <c r="M34" s="6" t="n">
        <v>0.3125</v>
      </c>
      <c r="N34" s="6" t="n">
        <v>0.8125</v>
      </c>
      <c r="O34" s="7" t="n">
        <f aca="false">(N34-M34)*24</f>
        <v>12</v>
      </c>
      <c r="P34" s="3" t="n">
        <v>12</v>
      </c>
      <c r="Q34" s="7" t="n">
        <f aca="false">P34*O34</f>
        <v>144</v>
      </c>
      <c r="R34" s="3" t="s">
        <v>70</v>
      </c>
    </row>
    <row r="35" customFormat="false" ht="15" hidden="false" customHeight="false" outlineLevel="0" collapsed="false">
      <c r="A35" s="13" t="str">
        <f aca="false">"W"&amp;WEEKNUM(B35,21)</f>
        <v>W42</v>
      </c>
      <c r="B35" s="14" t="n">
        <v>46310</v>
      </c>
      <c r="C35" s="15" t="s">
        <v>81</v>
      </c>
      <c r="D35" s="13"/>
      <c r="E35" s="13" t="n">
        <v>734</v>
      </c>
      <c r="F35" s="13"/>
      <c r="G35" s="13" t="s">
        <v>67</v>
      </c>
      <c r="H35" s="13" t="s">
        <v>21</v>
      </c>
      <c r="I35" s="15" t="s">
        <v>22</v>
      </c>
      <c r="J35" s="13" t="s">
        <v>82</v>
      </c>
      <c r="K35" s="15" t="s">
        <v>83</v>
      </c>
      <c r="L35" s="15" t="s">
        <v>84</v>
      </c>
      <c r="M35" s="16" t="n">
        <v>0.291666666666667</v>
      </c>
      <c r="N35" s="16" t="n">
        <v>0.625</v>
      </c>
      <c r="O35" s="17" t="n">
        <f aca="false">(N35-M35)*24</f>
        <v>8</v>
      </c>
      <c r="P35" s="13" t="n">
        <v>4</v>
      </c>
      <c r="Q35" s="17" t="n">
        <f aca="false">P35*O35</f>
        <v>32</v>
      </c>
      <c r="R35" s="13" t="s">
        <v>85</v>
      </c>
    </row>
    <row r="36" customFormat="false" ht="15" hidden="false" customHeight="false" outlineLevel="0" collapsed="false">
      <c r="A36" s="8" t="str">
        <f aca="false">"W"&amp;WEEKNUM(B36,21)</f>
        <v>W42</v>
      </c>
      <c r="B36" s="9" t="n">
        <v>46311</v>
      </c>
      <c r="C36" s="10" t="s">
        <v>86</v>
      </c>
      <c r="D36" s="8"/>
      <c r="E36" s="8" t="n">
        <v>14</v>
      </c>
      <c r="F36" s="8"/>
      <c r="G36" s="8" t="s">
        <v>20</v>
      </c>
      <c r="H36" s="8" t="s">
        <v>21</v>
      </c>
      <c r="I36" s="10" t="s">
        <v>22</v>
      </c>
      <c r="J36" s="8" t="s">
        <v>87</v>
      </c>
      <c r="K36" s="10" t="s">
        <v>88</v>
      </c>
      <c r="L36" s="10" t="s">
        <v>89</v>
      </c>
      <c r="M36" s="11" t="n">
        <v>0.333333333333333</v>
      </c>
      <c r="N36" s="11" t="n">
        <v>0.336805555555556</v>
      </c>
      <c r="O36" s="12" t="n">
        <f aca="false">(N36-M36)*24</f>
        <v>0.0833333333333333</v>
      </c>
      <c r="P36" s="8" t="n">
        <v>3</v>
      </c>
      <c r="Q36" s="12" t="n">
        <f aca="false">P36*O36</f>
        <v>0.25</v>
      </c>
      <c r="R36" s="8" t="s">
        <v>41</v>
      </c>
    </row>
    <row r="37" customFormat="false" ht="15" hidden="false" customHeight="false" outlineLevel="0" collapsed="false">
      <c r="A37" s="8" t="str">
        <f aca="false">"W"&amp;WEEKNUM(B37,21)</f>
        <v>W42</v>
      </c>
      <c r="B37" s="9" t="n">
        <v>46311</v>
      </c>
      <c r="C37" s="10" t="s">
        <v>90</v>
      </c>
      <c r="D37" s="8"/>
      <c r="E37" s="8" t="n">
        <v>30</v>
      </c>
      <c r="F37" s="8"/>
      <c r="G37" s="8" t="s">
        <v>20</v>
      </c>
      <c r="H37" s="8" t="s">
        <v>21</v>
      </c>
      <c r="I37" s="10" t="s">
        <v>22</v>
      </c>
      <c r="J37" s="8" t="s">
        <v>87</v>
      </c>
      <c r="K37" s="10" t="s">
        <v>88</v>
      </c>
      <c r="L37" s="10" t="s">
        <v>89</v>
      </c>
      <c r="M37" s="11" t="n">
        <v>0.336805555555556</v>
      </c>
      <c r="N37" s="11" t="n">
        <v>0.34375</v>
      </c>
      <c r="O37" s="12" t="n">
        <f aca="false">(N37-M37)*24</f>
        <v>0.166666666666667</v>
      </c>
      <c r="P37" s="8" t="n">
        <v>3</v>
      </c>
      <c r="Q37" s="12" t="n">
        <f aca="false">P37*O37</f>
        <v>0.5</v>
      </c>
      <c r="R37" s="8" t="s">
        <v>41</v>
      </c>
    </row>
    <row r="38" customFormat="false" ht="15" hidden="false" customHeight="false" outlineLevel="0" collapsed="false">
      <c r="A38" s="3" t="str">
        <f aca="false">"W"&amp;WEEKNUM(B38,21)</f>
        <v>W42</v>
      </c>
      <c r="B38" s="4" t="n">
        <v>46311</v>
      </c>
      <c r="C38" s="5"/>
      <c r="D38" s="3"/>
      <c r="E38" s="3"/>
      <c r="F38" s="3"/>
      <c r="G38" s="3" t="s">
        <v>67</v>
      </c>
      <c r="H38" s="3" t="s">
        <v>21</v>
      </c>
      <c r="I38" s="5" t="s">
        <v>22</v>
      </c>
      <c r="J38" s="3" t="s">
        <v>30</v>
      </c>
      <c r="K38" s="5" t="s">
        <v>68</v>
      </c>
      <c r="L38" s="5" t="s">
        <v>69</v>
      </c>
      <c r="M38" s="6" t="n">
        <v>0.3125</v>
      </c>
      <c r="N38" s="6" t="n">
        <v>0.8125</v>
      </c>
      <c r="O38" s="7" t="n">
        <f aca="false">(N38-M38)*24</f>
        <v>12</v>
      </c>
      <c r="P38" s="3" t="n">
        <v>12</v>
      </c>
      <c r="Q38" s="7" t="n">
        <f aca="false">P38*O38</f>
        <v>144</v>
      </c>
      <c r="R38" s="3" t="s">
        <v>70</v>
      </c>
    </row>
    <row r="39" customFormat="false" ht="15" hidden="false" customHeight="false" outlineLevel="0" collapsed="false">
      <c r="A39" s="3" t="str">
        <f aca="false">"W"&amp;WEEKNUM(B39,21)</f>
        <v>W42</v>
      </c>
      <c r="B39" s="4" t="n">
        <v>46311</v>
      </c>
      <c r="C39" s="5" t="s">
        <v>91</v>
      </c>
      <c r="D39" s="3"/>
      <c r="E39" s="3"/>
      <c r="F39" s="3"/>
      <c r="G39" s="3" t="s">
        <v>67</v>
      </c>
      <c r="H39" s="3" t="s">
        <v>21</v>
      </c>
      <c r="I39" s="5" t="s">
        <v>22</v>
      </c>
      <c r="J39" s="3" t="s">
        <v>38</v>
      </c>
      <c r="K39" s="5" t="s">
        <v>92</v>
      </c>
      <c r="L39" s="5" t="s">
        <v>93</v>
      </c>
      <c r="M39" s="6" t="n">
        <v>0.333333333333333</v>
      </c>
      <c r="N39" s="6" t="n">
        <v>0.5</v>
      </c>
      <c r="O39" s="7" t="n">
        <f aca="false">(N39-M39)*24</f>
        <v>4</v>
      </c>
      <c r="P39" s="3" t="n">
        <v>1</v>
      </c>
      <c r="Q39" s="7" t="n">
        <f aca="false">P39*O39</f>
        <v>4</v>
      </c>
      <c r="R39" s="3" t="s">
        <v>94</v>
      </c>
    </row>
    <row r="40" customFormat="false" ht="15" hidden="false" customHeight="false" outlineLevel="0" collapsed="false">
      <c r="A40" s="13" t="str">
        <f aca="false">"W"&amp;WEEKNUM(B40,21)</f>
        <v>W42</v>
      </c>
      <c r="B40" s="14" t="n">
        <v>46311</v>
      </c>
      <c r="C40" s="15" t="s">
        <v>95</v>
      </c>
      <c r="D40" s="13"/>
      <c r="E40" s="13"/>
      <c r="F40" s="13"/>
      <c r="G40" s="13" t="s">
        <v>67</v>
      </c>
      <c r="H40" s="13" t="s">
        <v>21</v>
      </c>
      <c r="I40" s="15" t="s">
        <v>22</v>
      </c>
      <c r="J40" s="13" t="s">
        <v>38</v>
      </c>
      <c r="K40" s="15" t="s">
        <v>92</v>
      </c>
      <c r="L40" s="15" t="s">
        <v>96</v>
      </c>
      <c r="M40" s="16" t="n">
        <v>0.625</v>
      </c>
      <c r="N40" s="16" t="n">
        <v>0.833333333333333</v>
      </c>
      <c r="O40" s="17" t="n">
        <f aca="false">(N40-M40)*24</f>
        <v>5</v>
      </c>
      <c r="P40" s="13" t="n">
        <v>1</v>
      </c>
      <c r="Q40" s="17" t="n">
        <f aca="false">P40*O40</f>
        <v>5</v>
      </c>
      <c r="R40" s="13" t="s">
        <v>94</v>
      </c>
    </row>
    <row r="41" customFormat="false" ht="15" hidden="false" customHeight="false" outlineLevel="0" collapsed="false">
      <c r="A41" s="3" t="str">
        <f aca="false">"W"&amp;WEEKNUM(B41,21)</f>
        <v>W42</v>
      </c>
      <c r="B41" s="4" t="n">
        <v>46312</v>
      </c>
      <c r="C41" s="5" t="s">
        <v>97</v>
      </c>
      <c r="D41" s="3"/>
      <c r="E41" s="3" t="n">
        <v>4</v>
      </c>
      <c r="F41" s="3"/>
      <c r="G41" s="3" t="s">
        <v>20</v>
      </c>
      <c r="H41" s="3" t="s">
        <v>21</v>
      </c>
      <c r="I41" s="5" t="s">
        <v>22</v>
      </c>
      <c r="J41" s="3" t="s">
        <v>38</v>
      </c>
      <c r="K41" s="5" t="s">
        <v>56</v>
      </c>
      <c r="L41" s="5" t="s">
        <v>98</v>
      </c>
      <c r="M41" s="6" t="n">
        <v>0.541666666666667</v>
      </c>
      <c r="N41" s="6" t="n">
        <v>0.544444444444444</v>
      </c>
      <c r="O41" s="7" t="n">
        <f aca="false">(N41-M41)*24</f>
        <v>0.0666666666666667</v>
      </c>
      <c r="P41" s="3" t="n">
        <v>3</v>
      </c>
      <c r="Q41" s="7" t="n">
        <f aca="false">P41*O41</f>
        <v>0.2</v>
      </c>
      <c r="R41" s="3" t="s">
        <v>41</v>
      </c>
    </row>
    <row r="42" customFormat="false" ht="25.35" hidden="false" customHeight="false" outlineLevel="0" collapsed="false">
      <c r="A42" s="13" t="str">
        <f aca="false">"W"&amp;WEEKNUM(B42,21)</f>
        <v>W42</v>
      </c>
      <c r="B42" s="14" t="n">
        <v>46312</v>
      </c>
      <c r="C42" s="15"/>
      <c r="D42" s="13"/>
      <c r="E42" s="13"/>
      <c r="F42" s="13"/>
      <c r="G42" s="13" t="s">
        <v>67</v>
      </c>
      <c r="H42" s="13" t="s">
        <v>21</v>
      </c>
      <c r="I42" s="15" t="s">
        <v>22</v>
      </c>
      <c r="J42" s="13" t="s">
        <v>30</v>
      </c>
      <c r="K42" s="15" t="s">
        <v>68</v>
      </c>
      <c r="L42" s="15" t="s">
        <v>99</v>
      </c>
      <c r="M42" s="16" t="n">
        <v>0.3125</v>
      </c>
      <c r="N42" s="16" t="n">
        <v>0.645833333333333</v>
      </c>
      <c r="O42" s="17" t="n">
        <f aca="false">(N42-M42)*24</f>
        <v>8</v>
      </c>
      <c r="P42" s="13" t="n">
        <v>12</v>
      </c>
      <c r="Q42" s="17" t="n">
        <f aca="false">P42*O42</f>
        <v>96</v>
      </c>
      <c r="R42" s="13" t="s">
        <v>70</v>
      </c>
    </row>
    <row r="43" customFormat="false" ht="15" hidden="false" customHeight="false" outlineLevel="0" collapsed="false">
      <c r="A43" s="3" t="str">
        <f aca="false">"W"&amp;WEEKNUM(B43,21)</f>
        <v>W43</v>
      </c>
      <c r="B43" s="4" t="n">
        <v>46314</v>
      </c>
      <c r="C43" s="5" t="s">
        <v>100</v>
      </c>
      <c r="D43" s="3"/>
      <c r="E43" s="3" t="n">
        <v>1</v>
      </c>
      <c r="F43" s="3"/>
      <c r="G43" s="3" t="s">
        <v>20</v>
      </c>
      <c r="H43" s="3" t="s">
        <v>21</v>
      </c>
      <c r="I43" s="5" t="s">
        <v>22</v>
      </c>
      <c r="J43" s="3" t="s">
        <v>38</v>
      </c>
      <c r="K43" s="5" t="s">
        <v>101</v>
      </c>
      <c r="L43" s="5" t="s">
        <v>102</v>
      </c>
      <c r="M43" s="6" t="n">
        <v>0.75</v>
      </c>
      <c r="N43" s="6" t="n">
        <v>0.751388888888889</v>
      </c>
      <c r="O43" s="7" t="n">
        <f aca="false">(N43-M43)*24</f>
        <v>0.0333333333333333</v>
      </c>
      <c r="P43" s="3" t="n">
        <v>3</v>
      </c>
      <c r="Q43" s="7" t="n">
        <f aca="false">P43*O43</f>
        <v>0.1</v>
      </c>
      <c r="R43" s="3" t="s">
        <v>41</v>
      </c>
    </row>
    <row r="44" customFormat="false" ht="15" hidden="false" customHeight="false" outlineLevel="0" collapsed="false">
      <c r="A44" s="3" t="str">
        <f aca="false">"W"&amp;WEEKNUM(B44,21)</f>
        <v>W43</v>
      </c>
      <c r="B44" s="4" t="n">
        <v>46314</v>
      </c>
      <c r="C44" s="5" t="s">
        <v>100</v>
      </c>
      <c r="D44" s="3"/>
      <c r="E44" s="3" t="n">
        <v>1</v>
      </c>
      <c r="F44" s="3"/>
      <c r="G44" s="3" t="s">
        <v>20</v>
      </c>
      <c r="H44" s="3" t="s">
        <v>21</v>
      </c>
      <c r="I44" s="5" t="s">
        <v>22</v>
      </c>
      <c r="J44" s="3" t="s">
        <v>38</v>
      </c>
      <c r="K44" s="5" t="s">
        <v>103</v>
      </c>
      <c r="L44" s="5" t="s">
        <v>104</v>
      </c>
      <c r="M44" s="6" t="n">
        <v>0.751388888888889</v>
      </c>
      <c r="N44" s="6" t="n">
        <v>0.752777777777778</v>
      </c>
      <c r="O44" s="7" t="n">
        <f aca="false">(N44-M44)*24</f>
        <v>0.0333333333333333</v>
      </c>
      <c r="P44" s="3" t="n">
        <v>3</v>
      </c>
      <c r="Q44" s="7" t="n">
        <f aca="false">P44*O44</f>
        <v>0.1</v>
      </c>
      <c r="R44" s="3" t="s">
        <v>41</v>
      </c>
    </row>
    <row r="45" customFormat="false" ht="15" hidden="false" customHeight="false" outlineLevel="0" collapsed="false">
      <c r="A45" s="3" t="str">
        <f aca="false">"W"&amp;WEEKNUM(B45,21)</f>
        <v>W43</v>
      </c>
      <c r="B45" s="4" t="n">
        <v>46314</v>
      </c>
      <c r="C45" s="5" t="s">
        <v>97</v>
      </c>
      <c r="D45" s="3"/>
      <c r="E45" s="3" t="n">
        <v>3</v>
      </c>
      <c r="F45" s="3"/>
      <c r="G45" s="3" t="s">
        <v>20</v>
      </c>
      <c r="H45" s="3" t="s">
        <v>21</v>
      </c>
      <c r="I45" s="5" t="s">
        <v>22</v>
      </c>
      <c r="J45" s="3" t="s">
        <v>38</v>
      </c>
      <c r="K45" s="5" t="s">
        <v>56</v>
      </c>
      <c r="L45" s="5" t="s">
        <v>105</v>
      </c>
      <c r="M45" s="6" t="n">
        <v>0.752777777777778</v>
      </c>
      <c r="N45" s="6" t="n">
        <v>0.754861111111111</v>
      </c>
      <c r="O45" s="7" t="n">
        <f aca="false">(N45-M45)*24</f>
        <v>0.05</v>
      </c>
      <c r="P45" s="3" t="n">
        <v>3</v>
      </c>
      <c r="Q45" s="7" t="n">
        <f aca="false">P45*O45</f>
        <v>0.15</v>
      </c>
      <c r="R45" s="3" t="s">
        <v>41</v>
      </c>
    </row>
    <row r="46" customFormat="false" ht="15" hidden="false" customHeight="false" outlineLevel="0" collapsed="false">
      <c r="A46" s="8" t="str">
        <f aca="false">"W"&amp;WEEKNUM(B46,21)</f>
        <v>W43</v>
      </c>
      <c r="B46" s="9" t="n">
        <v>46315</v>
      </c>
      <c r="C46" s="10" t="s">
        <v>106</v>
      </c>
      <c r="D46" s="8"/>
      <c r="E46" s="8" t="n">
        <v>10</v>
      </c>
      <c r="F46" s="8"/>
      <c r="G46" s="8" t="s">
        <v>20</v>
      </c>
      <c r="H46" s="8" t="s">
        <v>21</v>
      </c>
      <c r="I46" s="10" t="s">
        <v>22</v>
      </c>
      <c r="J46" s="8" t="s">
        <v>87</v>
      </c>
      <c r="K46" s="10" t="s">
        <v>107</v>
      </c>
      <c r="L46" s="10" t="s">
        <v>89</v>
      </c>
      <c r="M46" s="11" t="n">
        <v>0.756944444444444</v>
      </c>
      <c r="N46" s="11" t="n">
        <v>0.760416666666667</v>
      </c>
      <c r="O46" s="12" t="n">
        <f aca="false">(N46-M46)*24</f>
        <v>0.0833333333333333</v>
      </c>
      <c r="P46" s="8" t="n">
        <v>3</v>
      </c>
      <c r="Q46" s="12" t="n">
        <f aca="false">P46*O46</f>
        <v>0.25</v>
      </c>
      <c r="R46" s="8" t="s">
        <v>41</v>
      </c>
    </row>
    <row r="47" customFormat="false" ht="15" hidden="false" customHeight="false" outlineLevel="0" collapsed="false">
      <c r="A47" s="8" t="str">
        <f aca="false">"W"&amp;WEEKNUM(B47,21)</f>
        <v>W43</v>
      </c>
      <c r="B47" s="9" t="n">
        <v>46315</v>
      </c>
      <c r="C47" s="10" t="s">
        <v>108</v>
      </c>
      <c r="D47" s="8"/>
      <c r="E47" s="8" t="n">
        <v>5</v>
      </c>
      <c r="F47" s="8"/>
      <c r="G47" s="8" t="s">
        <v>20</v>
      </c>
      <c r="H47" s="8" t="s">
        <v>21</v>
      </c>
      <c r="I47" s="10" t="s">
        <v>22</v>
      </c>
      <c r="J47" s="8" t="s">
        <v>87</v>
      </c>
      <c r="K47" s="10" t="s">
        <v>107</v>
      </c>
      <c r="L47" s="10" t="s">
        <v>89</v>
      </c>
      <c r="M47" s="11" t="n">
        <v>0.760416666666667</v>
      </c>
      <c r="N47" s="11" t="n">
        <v>0.7625</v>
      </c>
      <c r="O47" s="12" t="n">
        <f aca="false">(N47-M47)*24</f>
        <v>0.05</v>
      </c>
      <c r="P47" s="8" t="n">
        <v>3</v>
      </c>
      <c r="Q47" s="12" t="n">
        <f aca="false">P47*O47</f>
        <v>0.15</v>
      </c>
      <c r="R47" s="8" t="s">
        <v>41</v>
      </c>
    </row>
    <row r="48" customFormat="false" ht="15" hidden="false" customHeight="false" outlineLevel="0" collapsed="false">
      <c r="A48" s="3" t="str">
        <f aca="false">"W"&amp;WEEKNUM(B48,21)</f>
        <v>W43</v>
      </c>
      <c r="B48" s="4" t="n">
        <v>46315</v>
      </c>
      <c r="C48" s="5" t="s">
        <v>109</v>
      </c>
      <c r="D48" s="3"/>
      <c r="E48" s="3" t="n">
        <v>30</v>
      </c>
      <c r="F48" s="3"/>
      <c r="G48" s="3" t="s">
        <v>20</v>
      </c>
      <c r="H48" s="3" t="s">
        <v>21</v>
      </c>
      <c r="I48" s="5" t="s">
        <v>22</v>
      </c>
      <c r="J48" s="3" t="s">
        <v>59</v>
      </c>
      <c r="K48" s="5" t="s">
        <v>60</v>
      </c>
      <c r="L48" s="5" t="s">
        <v>109</v>
      </c>
      <c r="M48" s="6" t="n">
        <v>0.375</v>
      </c>
      <c r="N48" s="6" t="n">
        <v>0.409722222222222</v>
      </c>
      <c r="O48" s="7" t="n">
        <f aca="false">(N48-M48)*24</f>
        <v>0.833333333333333</v>
      </c>
      <c r="P48" s="3" t="n">
        <v>1</v>
      </c>
      <c r="Q48" s="7" t="n">
        <f aca="false">P48*O48</f>
        <v>0.833333333333333</v>
      </c>
      <c r="R48" s="3" t="s">
        <v>62</v>
      </c>
    </row>
    <row r="49" customFormat="false" ht="15" hidden="false" customHeight="false" outlineLevel="0" collapsed="false">
      <c r="A49" s="8" t="str">
        <f aca="false">"W"&amp;WEEKNUM(B49,21)</f>
        <v>W43</v>
      </c>
      <c r="B49" s="9" t="n">
        <v>46315</v>
      </c>
      <c r="C49" s="10" t="s">
        <v>110</v>
      </c>
      <c r="D49" s="8"/>
      <c r="E49" s="8" t="n">
        <v>2</v>
      </c>
      <c r="F49" s="8"/>
      <c r="G49" s="8" t="s">
        <v>20</v>
      </c>
      <c r="H49" s="8" t="s">
        <v>21</v>
      </c>
      <c r="I49" s="10" t="s">
        <v>22</v>
      </c>
      <c r="J49" s="8" t="s">
        <v>111</v>
      </c>
      <c r="K49" s="10" t="s">
        <v>112</v>
      </c>
      <c r="L49" s="10" t="s">
        <v>113</v>
      </c>
      <c r="M49" s="11" t="n">
        <v>0.416666666666667</v>
      </c>
      <c r="N49" s="11" t="n">
        <v>0.46875</v>
      </c>
      <c r="O49" s="12" t="n">
        <f aca="false">(N49-M49)*24</f>
        <v>1.25</v>
      </c>
      <c r="P49" s="8" t="n">
        <v>2</v>
      </c>
      <c r="Q49" s="12" t="n">
        <f aca="false">P49*O49</f>
        <v>2.5</v>
      </c>
      <c r="R49" s="8" t="s">
        <v>62</v>
      </c>
    </row>
    <row r="50" customFormat="false" ht="15" hidden="false" customHeight="false" outlineLevel="0" collapsed="false">
      <c r="A50" s="3" t="str">
        <f aca="false">"W"&amp;WEEKNUM(B50,21)</f>
        <v>W43</v>
      </c>
      <c r="B50" s="4" t="n">
        <v>46315</v>
      </c>
      <c r="C50" s="5" t="s">
        <v>114</v>
      </c>
      <c r="D50" s="3"/>
      <c r="E50" s="3" t="n">
        <v>30</v>
      </c>
      <c r="F50" s="3"/>
      <c r="G50" s="3" t="s">
        <v>20</v>
      </c>
      <c r="H50" s="3" t="s">
        <v>21</v>
      </c>
      <c r="I50" s="5" t="s">
        <v>22</v>
      </c>
      <c r="J50" s="3" t="s">
        <v>76</v>
      </c>
      <c r="K50" s="5" t="s">
        <v>60</v>
      </c>
      <c r="L50" s="5" t="s">
        <v>114</v>
      </c>
      <c r="M50" s="6" t="n">
        <v>0.416666666666667</v>
      </c>
      <c r="N50" s="6" t="n">
        <v>0.444444444444444</v>
      </c>
      <c r="O50" s="7" t="n">
        <f aca="false">(N50-M50)*24</f>
        <v>0.666666666666667</v>
      </c>
      <c r="P50" s="3" t="n">
        <v>1</v>
      </c>
      <c r="Q50" s="7" t="n">
        <f aca="false">P50*O50</f>
        <v>0.666666666666667</v>
      </c>
      <c r="R50" s="3" t="s">
        <v>62</v>
      </c>
    </row>
    <row r="51" customFormat="false" ht="15" hidden="false" customHeight="false" outlineLevel="0" collapsed="false">
      <c r="A51" s="3" t="str">
        <f aca="false">"W"&amp;WEEKNUM(B51,21)</f>
        <v>W43</v>
      </c>
      <c r="B51" s="4" t="n">
        <v>46317</v>
      </c>
      <c r="C51" s="5" t="s">
        <v>115</v>
      </c>
      <c r="D51" s="3"/>
      <c r="E51" s="3" t="n">
        <v>1</v>
      </c>
      <c r="F51" s="3"/>
      <c r="G51" s="3" t="s">
        <v>20</v>
      </c>
      <c r="H51" s="3" t="s">
        <v>21</v>
      </c>
      <c r="I51" s="5" t="s">
        <v>22</v>
      </c>
      <c r="J51" s="3" t="s">
        <v>30</v>
      </c>
      <c r="K51" s="5" t="s">
        <v>49</v>
      </c>
      <c r="L51" s="5" t="s">
        <v>116</v>
      </c>
      <c r="M51" s="6" t="n">
        <v>0.333333333333333</v>
      </c>
      <c r="N51" s="6" t="n">
        <v>0.334722222222222</v>
      </c>
      <c r="O51" s="7" t="n">
        <f aca="false">(N51-M51)*24</f>
        <v>0.0333333333333333</v>
      </c>
      <c r="P51" s="3" t="n">
        <v>3</v>
      </c>
      <c r="Q51" s="7" t="n">
        <f aca="false">P51*O51</f>
        <v>0.1</v>
      </c>
      <c r="R51" s="3" t="s">
        <v>41</v>
      </c>
    </row>
    <row r="52" customFormat="false" ht="15" hidden="false" customHeight="false" outlineLevel="0" collapsed="false">
      <c r="A52" s="3" t="str">
        <f aca="false">"W"&amp;WEEKNUM(B52,21)</f>
        <v>W43</v>
      </c>
      <c r="B52" s="4" t="n">
        <v>46317</v>
      </c>
      <c r="C52" s="5" t="s">
        <v>117</v>
      </c>
      <c r="D52" s="3"/>
      <c r="E52" s="3" t="n">
        <v>20</v>
      </c>
      <c r="F52" s="3"/>
      <c r="G52" s="3" t="s">
        <v>20</v>
      </c>
      <c r="H52" s="3" t="s">
        <v>21</v>
      </c>
      <c r="I52" s="5" t="s">
        <v>22</v>
      </c>
      <c r="J52" s="3" t="s">
        <v>59</v>
      </c>
      <c r="K52" s="5" t="s">
        <v>49</v>
      </c>
      <c r="L52" s="5" t="s">
        <v>118</v>
      </c>
      <c r="M52" s="6" t="n">
        <v>0.375</v>
      </c>
      <c r="N52" s="6" t="n">
        <v>0.416666666666667</v>
      </c>
      <c r="O52" s="7" t="n">
        <f aca="false">(N52-M52)*24</f>
        <v>1</v>
      </c>
      <c r="P52" s="3" t="n">
        <v>3</v>
      </c>
      <c r="Q52" s="7" t="n">
        <f aca="false">P52*O52</f>
        <v>3</v>
      </c>
      <c r="R52" s="3" t="s">
        <v>41</v>
      </c>
    </row>
    <row r="53" customFormat="false" ht="25.35" hidden="false" customHeight="false" outlineLevel="0" collapsed="false">
      <c r="A53" s="13" t="str">
        <f aca="false">"W"&amp;WEEKNUM(B53,21)</f>
        <v>W43</v>
      </c>
      <c r="B53" s="14" t="n">
        <v>46318</v>
      </c>
      <c r="C53" s="15" t="s">
        <v>119</v>
      </c>
      <c r="D53" s="13"/>
      <c r="E53" s="13" t="n">
        <v>65</v>
      </c>
      <c r="F53" s="13"/>
      <c r="G53" s="13" t="s">
        <v>75</v>
      </c>
      <c r="H53" s="13" t="s">
        <v>21</v>
      </c>
      <c r="I53" s="15" t="s">
        <v>22</v>
      </c>
      <c r="J53" s="13" t="s">
        <v>76</v>
      </c>
      <c r="K53" s="15" t="s">
        <v>120</v>
      </c>
      <c r="L53" s="15" t="s">
        <v>121</v>
      </c>
      <c r="M53" s="16" t="n">
        <v>0.397222222222222</v>
      </c>
      <c r="N53" s="16" t="n">
        <v>0.472222222222222</v>
      </c>
      <c r="O53" s="17" t="n">
        <f aca="false">(N53-M53)*24</f>
        <v>1.8</v>
      </c>
      <c r="P53" s="13" t="n">
        <v>2</v>
      </c>
      <c r="Q53" s="17" t="n">
        <f aca="false">P53*O53</f>
        <v>3.6</v>
      </c>
      <c r="R53" s="13" t="s">
        <v>79</v>
      </c>
    </row>
    <row r="54" customFormat="false" ht="15" hidden="false" customHeight="false" outlineLevel="0" collapsed="false">
      <c r="A54" s="8" t="str">
        <f aca="false">"W"&amp;WEEKNUM(B54,21)</f>
        <v>W43</v>
      </c>
      <c r="B54" s="9" t="n">
        <v>46319</v>
      </c>
      <c r="C54" s="10" t="s">
        <v>122</v>
      </c>
      <c r="D54" s="8"/>
      <c r="E54" s="8" t="n">
        <v>50</v>
      </c>
      <c r="F54" s="8"/>
      <c r="G54" s="8" t="s">
        <v>20</v>
      </c>
      <c r="H54" s="8" t="s">
        <v>21</v>
      </c>
      <c r="I54" s="10" t="s">
        <v>22</v>
      </c>
      <c r="J54" s="8" t="s">
        <v>87</v>
      </c>
      <c r="K54" s="10" t="s">
        <v>123</v>
      </c>
      <c r="L54" s="10" t="s">
        <v>89</v>
      </c>
      <c r="M54" s="11" t="n">
        <v>0.416666666666667</v>
      </c>
      <c r="N54" s="11" t="n">
        <v>0.420833333333333</v>
      </c>
      <c r="O54" s="12" t="n">
        <f aca="false">(N54-M54)*24</f>
        <v>0.1</v>
      </c>
      <c r="P54" s="8" t="n">
        <v>3</v>
      </c>
      <c r="Q54" s="12" t="n">
        <f aca="false">P54*O54</f>
        <v>0.3</v>
      </c>
      <c r="R54" s="8" t="s">
        <v>41</v>
      </c>
    </row>
    <row r="55" customFormat="false" ht="15" hidden="false" customHeight="false" outlineLevel="0" collapsed="false">
      <c r="A55" s="3" t="str">
        <f aca="false">"W"&amp;WEEKNUM(B55,21)</f>
        <v>W43</v>
      </c>
      <c r="B55" s="4" t="n">
        <v>46319</v>
      </c>
      <c r="C55" s="5" t="s">
        <v>124</v>
      </c>
      <c r="D55" s="3"/>
      <c r="E55" s="3"/>
      <c r="F55" s="3"/>
      <c r="G55" s="3" t="s">
        <v>20</v>
      </c>
      <c r="H55" s="3" t="s">
        <v>21</v>
      </c>
      <c r="I55" s="5" t="s">
        <v>22</v>
      </c>
      <c r="J55" s="3" t="s">
        <v>76</v>
      </c>
      <c r="K55" s="5" t="s">
        <v>125</v>
      </c>
      <c r="L55" s="5" t="s">
        <v>126</v>
      </c>
      <c r="M55" s="6" t="n">
        <v>0.333333333333333</v>
      </c>
      <c r="N55" s="6" t="n">
        <v>0.395833333333333</v>
      </c>
      <c r="O55" s="7" t="n">
        <f aca="false">(N55-M55)*24</f>
        <v>1.5</v>
      </c>
      <c r="P55" s="3" t="n">
        <v>2</v>
      </c>
      <c r="Q55" s="7" t="n">
        <f aca="false">P55*O55</f>
        <v>3</v>
      </c>
      <c r="R55" s="3" t="s">
        <v>62</v>
      </c>
    </row>
    <row r="56" customFormat="false" ht="25.35" hidden="false" customHeight="false" outlineLevel="0" collapsed="false">
      <c r="A56" s="13" t="str">
        <f aca="false">"W"&amp;WEEKNUM(B56,21)</f>
        <v>W43</v>
      </c>
      <c r="B56" s="14" t="n">
        <v>46319</v>
      </c>
      <c r="C56" s="15" t="s">
        <v>127</v>
      </c>
      <c r="D56" s="13"/>
      <c r="E56" s="13" t="n">
        <v>30</v>
      </c>
      <c r="F56" s="13"/>
      <c r="G56" s="13" t="s">
        <v>20</v>
      </c>
      <c r="H56" s="13" t="s">
        <v>21</v>
      </c>
      <c r="I56" s="15" t="s">
        <v>22</v>
      </c>
      <c r="J56" s="13" t="s">
        <v>76</v>
      </c>
      <c r="K56" s="15" t="s">
        <v>128</v>
      </c>
      <c r="L56" s="15" t="s">
        <v>129</v>
      </c>
      <c r="M56" s="16" t="n">
        <v>0.333333333333333</v>
      </c>
      <c r="N56" s="16" t="n">
        <v>0.833333333333333</v>
      </c>
      <c r="O56" s="17" t="n">
        <f aca="false">(N56-M56)*24</f>
        <v>12</v>
      </c>
      <c r="P56" s="13" t="n">
        <v>4</v>
      </c>
      <c r="Q56" s="17" t="n">
        <f aca="false">P56*O56</f>
        <v>48</v>
      </c>
      <c r="R56" s="13" t="s">
        <v>62</v>
      </c>
    </row>
    <row r="57" customFormat="false" ht="15" hidden="false" customHeight="false" outlineLevel="0" collapsed="false">
      <c r="P57" s="18" t="s">
        <v>130</v>
      </c>
      <c r="Q57" s="19" t="n">
        <f aca="false">SUM(Q3:Q56)</f>
        <v>1826.33333333333</v>
      </c>
    </row>
    <row r="59" customFormat="false" ht="15" hidden="false" customHeight="false" outlineLevel="0" collapsed="false">
      <c r="A59" s="20" t="s">
        <v>131</v>
      </c>
    </row>
  </sheetData>
  <autoFilter ref="A2:R5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1"/>
    <col collapsed="false" customWidth="true" hidden="false" outlineLevel="0" max="3" min="3" style="0" width="8"/>
    <col collapsed="false" customWidth="true" hidden="false" outlineLevel="0" max="13" min="4" style="0" width="14"/>
  </cols>
  <sheetData>
    <row r="1" customFormat="false" ht="17.35" hidden="false" customHeight="false" outlineLevel="0" collapsed="false">
      <c r="A1" s="21" t="s">
        <v>132</v>
      </c>
    </row>
    <row r="3" customFormat="false" ht="39.75" hidden="false" customHeight="true" outlineLevel="0" collapsed="false">
      <c r="A3" s="2" t="s">
        <v>133</v>
      </c>
      <c r="B3" s="2" t="s">
        <v>134</v>
      </c>
      <c r="C3" s="2" t="s">
        <v>135</v>
      </c>
      <c r="D3" s="2" t="s">
        <v>26</v>
      </c>
      <c r="E3" s="2" t="s">
        <v>33</v>
      </c>
      <c r="F3" s="2" t="s">
        <v>41</v>
      </c>
      <c r="G3" s="2" t="s">
        <v>62</v>
      </c>
      <c r="H3" s="2" t="s">
        <v>79</v>
      </c>
      <c r="I3" s="2" t="s">
        <v>65</v>
      </c>
      <c r="J3" s="2" t="s">
        <v>70</v>
      </c>
      <c r="K3" s="2" t="s">
        <v>94</v>
      </c>
      <c r="L3" s="2" t="s">
        <v>85</v>
      </c>
      <c r="M3" s="2" t="s">
        <v>136</v>
      </c>
    </row>
    <row r="4" customFormat="false" ht="15" hidden="false" customHeight="false" outlineLevel="0" collapsed="false">
      <c r="A4" s="22" t="n">
        <v>46300</v>
      </c>
      <c r="B4" s="3" t="s">
        <v>137</v>
      </c>
      <c r="C4" s="3" t="str">
        <f aca="false">"W"&amp;WEEKNUM(A4,21)</f>
        <v>W41</v>
      </c>
      <c r="D4" s="23" t="n">
        <f aca="false">SUMIFS('S32 5-10 đến 24-10'!$Q$3:$Q$56,'S32 5-10 đến 24-10'!$B$3:$B$56,$A4,'S32 5-10 đến 24-10'!$R$3:$R$56,D$3)</f>
        <v>46</v>
      </c>
      <c r="E4" s="23" t="n">
        <f aca="false">SUMIFS('S32 5-10 đến 24-10'!$Q$3:$Q$56,'S32 5-10 đến 24-10'!$B$3:$B$56,$A4,'S32 5-10 đến 24-10'!$R$3:$R$56,E$3)</f>
        <v>120</v>
      </c>
      <c r="F4" s="23" t="n">
        <f aca="false">SUMIFS('S32 5-10 đến 24-10'!$Q$3:$Q$56,'S32 5-10 đến 24-10'!$B$3:$B$56,$A4,'S32 5-10 đến 24-10'!$R$3:$R$56,F$3)</f>
        <v>0</v>
      </c>
      <c r="G4" s="23" t="n">
        <f aca="false">SUMIFS('S32 5-10 đến 24-10'!$Q$3:$Q$56,'S32 5-10 đến 24-10'!$B$3:$B$56,$A4,'S32 5-10 đến 24-10'!$R$3:$R$56,G$3)</f>
        <v>0</v>
      </c>
      <c r="H4" s="23" t="n">
        <f aca="false">SUMIFS('S32 5-10 đến 24-10'!$Q$3:$Q$56,'S32 5-10 đến 24-10'!$B$3:$B$56,$A4,'S32 5-10 đến 24-10'!$R$3:$R$56,H$3)</f>
        <v>0</v>
      </c>
      <c r="I4" s="23" t="n">
        <f aca="false">SUMIFS('S32 5-10 đến 24-10'!$Q$3:$Q$56,'S32 5-10 đến 24-10'!$B$3:$B$56,$A4,'S32 5-10 đến 24-10'!$R$3:$R$56,I$3)</f>
        <v>0</v>
      </c>
      <c r="J4" s="23" t="n">
        <f aca="false">SUMIFS('S32 5-10 đến 24-10'!$Q$3:$Q$56,'S32 5-10 đến 24-10'!$B$3:$B$56,$A4,'S32 5-10 đến 24-10'!$R$3:$R$56,J$3)</f>
        <v>0</v>
      </c>
      <c r="K4" s="23" t="n">
        <f aca="false">SUMIFS('S32 5-10 đến 24-10'!$Q$3:$Q$56,'S32 5-10 đến 24-10'!$B$3:$B$56,$A4,'S32 5-10 đến 24-10'!$R$3:$R$56,K$3)</f>
        <v>0</v>
      </c>
      <c r="L4" s="23" t="n">
        <f aca="false">SUMIFS('S32 5-10 đến 24-10'!$Q$3:$Q$56,'S32 5-10 đến 24-10'!$B$3:$B$56,$A4,'S32 5-10 đến 24-10'!$R$3:$R$56,L$3)</f>
        <v>0</v>
      </c>
      <c r="M4" s="24" t="n">
        <f aca="false">SUM(D4:L4)</f>
        <v>166</v>
      </c>
    </row>
    <row r="5" customFormat="false" ht="15" hidden="false" customHeight="false" outlineLevel="0" collapsed="false">
      <c r="A5" s="22" t="n">
        <v>46301</v>
      </c>
      <c r="B5" s="3" t="s">
        <v>138</v>
      </c>
      <c r="C5" s="3" t="str">
        <f aca="false">"W"&amp;WEEKNUM(A5,21)</f>
        <v>W41</v>
      </c>
      <c r="D5" s="23" t="n">
        <f aca="false">SUMIFS('S32 5-10 đến 24-10'!$Q$3:$Q$56,'S32 5-10 đến 24-10'!$B$3:$B$56,$A5,'S32 5-10 đến 24-10'!$R$3:$R$56,D$3)</f>
        <v>55</v>
      </c>
      <c r="E5" s="23" t="n">
        <f aca="false">SUMIFS('S32 5-10 đến 24-10'!$Q$3:$Q$56,'S32 5-10 đến 24-10'!$B$3:$B$56,$A5,'S32 5-10 đến 24-10'!$R$3:$R$56,E$3)</f>
        <v>120</v>
      </c>
      <c r="F5" s="23" t="n">
        <f aca="false">SUMIFS('S32 5-10 đến 24-10'!$Q$3:$Q$56,'S32 5-10 đến 24-10'!$B$3:$B$56,$A5,'S32 5-10 đến 24-10'!$R$3:$R$56,F$3)</f>
        <v>0</v>
      </c>
      <c r="G5" s="23" t="n">
        <f aca="false">SUMIFS('S32 5-10 đến 24-10'!$Q$3:$Q$56,'S32 5-10 đến 24-10'!$B$3:$B$56,$A5,'S32 5-10 đến 24-10'!$R$3:$R$56,G$3)</f>
        <v>0</v>
      </c>
      <c r="H5" s="23" t="n">
        <f aca="false">SUMIFS('S32 5-10 đến 24-10'!$Q$3:$Q$56,'S32 5-10 đến 24-10'!$B$3:$B$56,$A5,'S32 5-10 đến 24-10'!$R$3:$R$56,H$3)</f>
        <v>0</v>
      </c>
      <c r="I5" s="23" t="n">
        <f aca="false">SUMIFS('S32 5-10 đến 24-10'!$Q$3:$Q$56,'S32 5-10 đến 24-10'!$B$3:$B$56,$A5,'S32 5-10 đến 24-10'!$R$3:$R$56,I$3)</f>
        <v>0</v>
      </c>
      <c r="J5" s="23" t="n">
        <f aca="false">SUMIFS('S32 5-10 đến 24-10'!$Q$3:$Q$56,'S32 5-10 đến 24-10'!$B$3:$B$56,$A5,'S32 5-10 đến 24-10'!$R$3:$R$56,J$3)</f>
        <v>0</v>
      </c>
      <c r="K5" s="23" t="n">
        <f aca="false">SUMIFS('S32 5-10 đến 24-10'!$Q$3:$Q$56,'S32 5-10 đến 24-10'!$B$3:$B$56,$A5,'S32 5-10 đến 24-10'!$R$3:$R$56,K$3)</f>
        <v>0</v>
      </c>
      <c r="L5" s="23" t="n">
        <f aca="false">SUMIFS('S32 5-10 đến 24-10'!$Q$3:$Q$56,'S32 5-10 đến 24-10'!$B$3:$B$56,$A5,'S32 5-10 đến 24-10'!$R$3:$R$56,L$3)</f>
        <v>0</v>
      </c>
      <c r="M5" s="24" t="n">
        <f aca="false">SUM(D5:L5)</f>
        <v>175</v>
      </c>
    </row>
    <row r="6" customFormat="false" ht="15" hidden="false" customHeight="false" outlineLevel="0" collapsed="false">
      <c r="A6" s="22" t="n">
        <v>46302</v>
      </c>
      <c r="B6" s="3" t="s">
        <v>139</v>
      </c>
      <c r="C6" s="3" t="str">
        <f aca="false">"W"&amp;WEEKNUM(A6,21)</f>
        <v>W41</v>
      </c>
      <c r="D6" s="23" t="n">
        <f aca="false">SUMIFS('S32 5-10 đến 24-10'!$Q$3:$Q$56,'S32 5-10 đến 24-10'!$B$3:$B$56,$A6,'S32 5-10 đến 24-10'!$R$3:$R$56,D$3)</f>
        <v>0</v>
      </c>
      <c r="E6" s="23" t="n">
        <f aca="false">SUMIFS('S32 5-10 đến 24-10'!$Q$3:$Q$56,'S32 5-10 đến 24-10'!$B$3:$B$56,$A6,'S32 5-10 đến 24-10'!$R$3:$R$56,E$3)</f>
        <v>112</v>
      </c>
      <c r="F6" s="23" t="n">
        <f aca="false">SUMIFS('S32 5-10 đến 24-10'!$Q$3:$Q$56,'S32 5-10 đến 24-10'!$B$3:$B$56,$A6,'S32 5-10 đến 24-10'!$R$3:$R$56,F$3)</f>
        <v>0</v>
      </c>
      <c r="G6" s="23" t="n">
        <f aca="false">SUMIFS('S32 5-10 đến 24-10'!$Q$3:$Q$56,'S32 5-10 đến 24-10'!$B$3:$B$56,$A6,'S32 5-10 đến 24-10'!$R$3:$R$56,G$3)</f>
        <v>0</v>
      </c>
      <c r="H6" s="23" t="n">
        <f aca="false">SUMIFS('S32 5-10 đến 24-10'!$Q$3:$Q$56,'S32 5-10 đến 24-10'!$B$3:$B$56,$A6,'S32 5-10 đến 24-10'!$R$3:$R$56,H$3)</f>
        <v>0</v>
      </c>
      <c r="I6" s="23" t="n">
        <f aca="false">SUMIFS('S32 5-10 đến 24-10'!$Q$3:$Q$56,'S32 5-10 đến 24-10'!$B$3:$B$56,$A6,'S32 5-10 đến 24-10'!$R$3:$R$56,I$3)</f>
        <v>0</v>
      </c>
      <c r="J6" s="23" t="n">
        <f aca="false">SUMIFS('S32 5-10 đến 24-10'!$Q$3:$Q$56,'S32 5-10 đến 24-10'!$B$3:$B$56,$A6,'S32 5-10 đến 24-10'!$R$3:$R$56,J$3)</f>
        <v>0</v>
      </c>
      <c r="K6" s="23" t="n">
        <f aca="false">SUMIFS('S32 5-10 đến 24-10'!$Q$3:$Q$56,'S32 5-10 đến 24-10'!$B$3:$B$56,$A6,'S32 5-10 đến 24-10'!$R$3:$R$56,K$3)</f>
        <v>0</v>
      </c>
      <c r="L6" s="23" t="n">
        <f aca="false">SUMIFS('S32 5-10 đến 24-10'!$Q$3:$Q$56,'S32 5-10 đến 24-10'!$B$3:$B$56,$A6,'S32 5-10 đến 24-10'!$R$3:$R$56,L$3)</f>
        <v>0</v>
      </c>
      <c r="M6" s="24" t="n">
        <f aca="false">SUM(D6:L6)</f>
        <v>112</v>
      </c>
    </row>
    <row r="7" customFormat="false" ht="15" hidden="false" customHeight="false" outlineLevel="0" collapsed="false">
      <c r="A7" s="22" t="n">
        <v>46303</v>
      </c>
      <c r="B7" s="3" t="s">
        <v>140</v>
      </c>
      <c r="C7" s="3" t="str">
        <f aca="false">"W"&amp;WEEKNUM(A7,21)</f>
        <v>W41</v>
      </c>
      <c r="D7" s="23" t="n">
        <f aca="false">SUMIFS('S32 5-10 đến 24-10'!$Q$3:$Q$56,'S32 5-10 đến 24-10'!$B$3:$B$56,$A7,'S32 5-10 đến 24-10'!$R$3:$R$56,D$3)</f>
        <v>0</v>
      </c>
      <c r="E7" s="23" t="n">
        <f aca="false">SUMIFS('S32 5-10 đến 24-10'!$Q$3:$Q$56,'S32 5-10 đến 24-10'!$B$3:$B$56,$A7,'S32 5-10 đến 24-10'!$R$3:$R$56,E$3)</f>
        <v>104</v>
      </c>
      <c r="F7" s="23" t="n">
        <f aca="false">SUMIFS('S32 5-10 đến 24-10'!$Q$3:$Q$56,'S32 5-10 đến 24-10'!$B$3:$B$56,$A7,'S32 5-10 đến 24-10'!$R$3:$R$56,F$3)</f>
        <v>0.2</v>
      </c>
      <c r="G7" s="23" t="n">
        <f aca="false">SUMIFS('S32 5-10 đến 24-10'!$Q$3:$Q$56,'S32 5-10 đến 24-10'!$B$3:$B$56,$A7,'S32 5-10 đến 24-10'!$R$3:$R$56,G$3)</f>
        <v>0</v>
      </c>
      <c r="H7" s="23" t="n">
        <f aca="false">SUMIFS('S32 5-10 đến 24-10'!$Q$3:$Q$56,'S32 5-10 đến 24-10'!$B$3:$B$56,$A7,'S32 5-10 đến 24-10'!$R$3:$R$56,H$3)</f>
        <v>0</v>
      </c>
      <c r="I7" s="23" t="n">
        <f aca="false">SUMIFS('S32 5-10 đến 24-10'!$Q$3:$Q$56,'S32 5-10 đến 24-10'!$B$3:$B$56,$A7,'S32 5-10 đến 24-10'!$R$3:$R$56,I$3)</f>
        <v>0</v>
      </c>
      <c r="J7" s="23" t="n">
        <f aca="false">SUMIFS('S32 5-10 đến 24-10'!$Q$3:$Q$56,'S32 5-10 đến 24-10'!$B$3:$B$56,$A7,'S32 5-10 đến 24-10'!$R$3:$R$56,J$3)</f>
        <v>0</v>
      </c>
      <c r="K7" s="23" t="n">
        <f aca="false">SUMIFS('S32 5-10 đến 24-10'!$Q$3:$Q$56,'S32 5-10 đến 24-10'!$B$3:$B$56,$A7,'S32 5-10 đến 24-10'!$R$3:$R$56,K$3)</f>
        <v>0</v>
      </c>
      <c r="L7" s="23" t="n">
        <f aca="false">SUMIFS('S32 5-10 đến 24-10'!$Q$3:$Q$56,'S32 5-10 đến 24-10'!$B$3:$B$56,$A7,'S32 5-10 đến 24-10'!$R$3:$R$56,L$3)</f>
        <v>0</v>
      </c>
      <c r="M7" s="24" t="n">
        <f aca="false">SUM(D7:L7)</f>
        <v>104.2</v>
      </c>
    </row>
    <row r="8" customFormat="false" ht="15" hidden="false" customHeight="false" outlineLevel="0" collapsed="false">
      <c r="A8" s="22" t="n">
        <v>46304</v>
      </c>
      <c r="B8" s="3" t="s">
        <v>141</v>
      </c>
      <c r="C8" s="3" t="str">
        <f aca="false">"W"&amp;WEEKNUM(A8,21)</f>
        <v>W41</v>
      </c>
      <c r="D8" s="23" t="n">
        <f aca="false">SUMIFS('S32 5-10 đến 24-10'!$Q$3:$Q$56,'S32 5-10 đến 24-10'!$B$3:$B$56,$A8,'S32 5-10 đến 24-10'!$R$3:$R$56,D$3)</f>
        <v>0</v>
      </c>
      <c r="E8" s="23" t="n">
        <f aca="false">SUMIFS('S32 5-10 đến 24-10'!$Q$3:$Q$56,'S32 5-10 đến 24-10'!$B$3:$B$56,$A8,'S32 5-10 đến 24-10'!$R$3:$R$56,E$3)</f>
        <v>132</v>
      </c>
      <c r="F8" s="23" t="n">
        <f aca="false">SUMIFS('S32 5-10 đến 24-10'!$Q$3:$Q$56,'S32 5-10 đến 24-10'!$B$3:$B$56,$A8,'S32 5-10 đến 24-10'!$R$3:$R$56,F$3)</f>
        <v>0.6</v>
      </c>
      <c r="G8" s="23" t="n">
        <f aca="false">SUMIFS('S32 5-10 đến 24-10'!$Q$3:$Q$56,'S32 5-10 đến 24-10'!$B$3:$B$56,$A8,'S32 5-10 đến 24-10'!$R$3:$R$56,G$3)</f>
        <v>0</v>
      </c>
      <c r="H8" s="23" t="n">
        <f aca="false">SUMIFS('S32 5-10 đến 24-10'!$Q$3:$Q$56,'S32 5-10 đến 24-10'!$B$3:$B$56,$A8,'S32 5-10 đến 24-10'!$R$3:$R$56,H$3)</f>
        <v>0</v>
      </c>
      <c r="I8" s="23" t="n">
        <f aca="false">SUMIFS('S32 5-10 đến 24-10'!$Q$3:$Q$56,'S32 5-10 đến 24-10'!$B$3:$B$56,$A8,'S32 5-10 đến 24-10'!$R$3:$R$56,I$3)</f>
        <v>0</v>
      </c>
      <c r="J8" s="23" t="n">
        <f aca="false">SUMIFS('S32 5-10 đến 24-10'!$Q$3:$Q$56,'S32 5-10 đến 24-10'!$B$3:$B$56,$A8,'S32 5-10 đến 24-10'!$R$3:$R$56,J$3)</f>
        <v>0</v>
      </c>
      <c r="K8" s="23" t="n">
        <f aca="false">SUMIFS('S32 5-10 đến 24-10'!$Q$3:$Q$56,'S32 5-10 đến 24-10'!$B$3:$B$56,$A8,'S32 5-10 đến 24-10'!$R$3:$R$56,K$3)</f>
        <v>0</v>
      </c>
      <c r="L8" s="23" t="n">
        <f aca="false">SUMIFS('S32 5-10 đến 24-10'!$Q$3:$Q$56,'S32 5-10 đến 24-10'!$B$3:$B$56,$A8,'S32 5-10 đến 24-10'!$R$3:$R$56,L$3)</f>
        <v>0</v>
      </c>
      <c r="M8" s="24" t="n">
        <f aca="false">SUM(D8:L8)</f>
        <v>132.6</v>
      </c>
    </row>
    <row r="9" customFormat="false" ht="15" hidden="false" customHeight="false" outlineLevel="0" collapsed="false">
      <c r="A9" s="22" t="n">
        <v>46305</v>
      </c>
      <c r="B9" s="3" t="s">
        <v>142</v>
      </c>
      <c r="C9" s="3" t="str">
        <f aca="false">"W"&amp;WEEKNUM(A9,21)</f>
        <v>W41</v>
      </c>
      <c r="D9" s="23" t="n">
        <f aca="false">SUMIFS('S32 5-10 đến 24-10'!$Q$3:$Q$56,'S32 5-10 đến 24-10'!$B$3:$B$56,$A9,'S32 5-10 đến 24-10'!$R$3:$R$56,D$3)</f>
        <v>0</v>
      </c>
      <c r="E9" s="23" t="n">
        <f aca="false">SUMIFS('S32 5-10 đến 24-10'!$Q$3:$Q$56,'S32 5-10 đến 24-10'!$B$3:$B$56,$A9,'S32 5-10 đến 24-10'!$R$3:$R$56,E$3)</f>
        <v>116</v>
      </c>
      <c r="F9" s="23" t="n">
        <f aca="false">SUMIFS('S32 5-10 đến 24-10'!$Q$3:$Q$56,'S32 5-10 đến 24-10'!$B$3:$B$56,$A9,'S32 5-10 đến 24-10'!$R$3:$R$56,F$3)</f>
        <v>0</v>
      </c>
      <c r="G9" s="23" t="n">
        <f aca="false">SUMIFS('S32 5-10 đến 24-10'!$Q$3:$Q$56,'S32 5-10 đến 24-10'!$B$3:$B$56,$A9,'S32 5-10 đến 24-10'!$R$3:$R$56,G$3)</f>
        <v>3</v>
      </c>
      <c r="H9" s="23" t="n">
        <f aca="false">SUMIFS('S32 5-10 đến 24-10'!$Q$3:$Q$56,'S32 5-10 đến 24-10'!$B$3:$B$56,$A9,'S32 5-10 đến 24-10'!$R$3:$R$56,H$3)</f>
        <v>0</v>
      </c>
      <c r="I9" s="23" t="n">
        <f aca="false">SUMIFS('S32 5-10 đến 24-10'!$Q$3:$Q$56,'S32 5-10 đến 24-10'!$B$3:$B$56,$A9,'S32 5-10 đến 24-10'!$R$3:$R$56,I$3)</f>
        <v>0</v>
      </c>
      <c r="J9" s="23" t="n">
        <f aca="false">SUMIFS('S32 5-10 đến 24-10'!$Q$3:$Q$56,'S32 5-10 đến 24-10'!$B$3:$B$56,$A9,'S32 5-10 đến 24-10'!$R$3:$R$56,J$3)</f>
        <v>0</v>
      </c>
      <c r="K9" s="23" t="n">
        <f aca="false">SUMIFS('S32 5-10 đến 24-10'!$Q$3:$Q$56,'S32 5-10 đến 24-10'!$B$3:$B$56,$A9,'S32 5-10 đến 24-10'!$R$3:$R$56,K$3)</f>
        <v>0</v>
      </c>
      <c r="L9" s="23" t="n">
        <f aca="false">SUMIFS('S32 5-10 đến 24-10'!$Q$3:$Q$56,'S32 5-10 đến 24-10'!$B$3:$B$56,$A9,'S32 5-10 đến 24-10'!$R$3:$R$56,L$3)</f>
        <v>0</v>
      </c>
      <c r="M9" s="24" t="n">
        <f aca="false">SUM(D9:L9)</f>
        <v>119</v>
      </c>
    </row>
    <row r="10" customFormat="false" ht="15" hidden="false" customHeight="false" outlineLevel="0" collapsed="false">
      <c r="A10" s="22" t="n">
        <v>46306</v>
      </c>
      <c r="B10" s="3" t="s">
        <v>143</v>
      </c>
      <c r="C10" s="3" t="str">
        <f aca="false">"W"&amp;WEEKNUM(A10,21)</f>
        <v>W41</v>
      </c>
      <c r="D10" s="23" t="n">
        <f aca="false">SUMIFS('S32 5-10 đến 24-10'!$Q$3:$Q$56,'S32 5-10 đến 24-10'!$B$3:$B$56,$A10,'S32 5-10 đến 24-10'!$R$3:$R$56,D$3)</f>
        <v>0</v>
      </c>
      <c r="E10" s="23" t="n">
        <f aca="false">SUMIFS('S32 5-10 đến 24-10'!$Q$3:$Q$56,'S32 5-10 đến 24-10'!$B$3:$B$56,$A10,'S32 5-10 đến 24-10'!$R$3:$R$56,E$3)</f>
        <v>72</v>
      </c>
      <c r="F10" s="23" t="n">
        <f aca="false">SUMIFS('S32 5-10 đến 24-10'!$Q$3:$Q$56,'S32 5-10 đến 24-10'!$B$3:$B$56,$A10,'S32 5-10 đến 24-10'!$R$3:$R$56,F$3)</f>
        <v>0</v>
      </c>
      <c r="G10" s="23" t="n">
        <f aca="false">SUMIFS('S32 5-10 đến 24-10'!$Q$3:$Q$56,'S32 5-10 đến 24-10'!$B$3:$B$56,$A10,'S32 5-10 đến 24-10'!$R$3:$R$56,G$3)</f>
        <v>0</v>
      </c>
      <c r="H10" s="23" t="n">
        <f aca="false">SUMIFS('S32 5-10 đến 24-10'!$Q$3:$Q$56,'S32 5-10 đến 24-10'!$B$3:$B$56,$A10,'S32 5-10 đến 24-10'!$R$3:$R$56,H$3)</f>
        <v>0</v>
      </c>
      <c r="I10" s="23" t="n">
        <f aca="false">SUMIFS('S32 5-10 đến 24-10'!$Q$3:$Q$56,'S32 5-10 đến 24-10'!$B$3:$B$56,$A10,'S32 5-10 đến 24-10'!$R$3:$R$56,I$3)</f>
        <v>0</v>
      </c>
      <c r="J10" s="23" t="n">
        <f aca="false">SUMIFS('S32 5-10 đến 24-10'!$Q$3:$Q$56,'S32 5-10 đến 24-10'!$B$3:$B$56,$A10,'S32 5-10 đến 24-10'!$R$3:$R$56,J$3)</f>
        <v>0</v>
      </c>
      <c r="K10" s="23" t="n">
        <f aca="false">SUMIFS('S32 5-10 đến 24-10'!$Q$3:$Q$56,'S32 5-10 đến 24-10'!$B$3:$B$56,$A10,'S32 5-10 đến 24-10'!$R$3:$R$56,K$3)</f>
        <v>0</v>
      </c>
      <c r="L10" s="23" t="n">
        <f aca="false">SUMIFS('S32 5-10 đến 24-10'!$Q$3:$Q$56,'S32 5-10 đến 24-10'!$B$3:$B$56,$A10,'S32 5-10 đến 24-10'!$R$3:$R$56,L$3)</f>
        <v>0</v>
      </c>
      <c r="M10" s="24" t="n">
        <f aca="false">SUM(D10:L10)</f>
        <v>72</v>
      </c>
    </row>
    <row r="11" customFormat="false" ht="15" hidden="false" customHeight="false" outlineLevel="0" collapsed="false">
      <c r="A11" s="22" t="n">
        <v>46307</v>
      </c>
      <c r="B11" s="3" t="s">
        <v>137</v>
      </c>
      <c r="C11" s="3" t="str">
        <f aca="false">"W"&amp;WEEKNUM(A11,21)</f>
        <v>W42</v>
      </c>
      <c r="D11" s="23" t="n">
        <f aca="false">SUMIFS('S32 5-10 đến 24-10'!$Q$3:$Q$56,'S32 5-10 đến 24-10'!$B$3:$B$56,$A11,'S32 5-10 đến 24-10'!$R$3:$R$56,D$3)</f>
        <v>0</v>
      </c>
      <c r="E11" s="23" t="n">
        <f aca="false">SUMIFS('S32 5-10 đến 24-10'!$Q$3:$Q$56,'S32 5-10 đến 24-10'!$B$3:$B$56,$A11,'S32 5-10 đến 24-10'!$R$3:$R$56,E$3)</f>
        <v>0</v>
      </c>
      <c r="F11" s="23" t="n">
        <f aca="false">SUMIFS('S32 5-10 đến 24-10'!$Q$3:$Q$56,'S32 5-10 đến 24-10'!$B$3:$B$56,$A11,'S32 5-10 đến 24-10'!$R$3:$R$56,F$3)</f>
        <v>0</v>
      </c>
      <c r="G11" s="23" t="n">
        <f aca="false">SUMIFS('S32 5-10 đến 24-10'!$Q$3:$Q$56,'S32 5-10 đến 24-10'!$B$3:$B$56,$A11,'S32 5-10 đến 24-10'!$R$3:$R$56,G$3)</f>
        <v>0</v>
      </c>
      <c r="H11" s="23" t="n">
        <f aca="false">SUMIFS('S32 5-10 đến 24-10'!$Q$3:$Q$56,'S32 5-10 đến 24-10'!$B$3:$B$56,$A11,'S32 5-10 đến 24-10'!$R$3:$R$56,H$3)</f>
        <v>0</v>
      </c>
      <c r="I11" s="23" t="n">
        <f aca="false">SUMIFS('S32 5-10 đến 24-10'!$Q$3:$Q$56,'S32 5-10 đến 24-10'!$B$3:$B$56,$A11,'S32 5-10 đến 24-10'!$R$3:$R$56,I$3)</f>
        <v>18</v>
      </c>
      <c r="J11" s="23" t="n">
        <f aca="false">SUMIFS('S32 5-10 đến 24-10'!$Q$3:$Q$56,'S32 5-10 đến 24-10'!$B$3:$B$56,$A11,'S32 5-10 đến 24-10'!$R$3:$R$56,J$3)</f>
        <v>144</v>
      </c>
      <c r="K11" s="23" t="n">
        <f aca="false">SUMIFS('S32 5-10 đến 24-10'!$Q$3:$Q$56,'S32 5-10 đến 24-10'!$B$3:$B$56,$A11,'S32 5-10 đến 24-10'!$R$3:$R$56,K$3)</f>
        <v>0</v>
      </c>
      <c r="L11" s="23" t="n">
        <f aca="false">SUMIFS('S32 5-10 đến 24-10'!$Q$3:$Q$56,'S32 5-10 đến 24-10'!$B$3:$B$56,$A11,'S32 5-10 đến 24-10'!$R$3:$R$56,L$3)</f>
        <v>0</v>
      </c>
      <c r="M11" s="24" t="n">
        <f aca="false">SUM(D11:L11)</f>
        <v>162</v>
      </c>
    </row>
    <row r="12" customFormat="false" ht="15" hidden="false" customHeight="false" outlineLevel="0" collapsed="false">
      <c r="A12" s="22" t="n">
        <v>46308</v>
      </c>
      <c r="B12" s="3" t="s">
        <v>138</v>
      </c>
      <c r="C12" s="3" t="str">
        <f aca="false">"W"&amp;WEEKNUM(A12,21)</f>
        <v>W42</v>
      </c>
      <c r="D12" s="23" t="n">
        <f aca="false">SUMIFS('S32 5-10 đến 24-10'!$Q$3:$Q$56,'S32 5-10 đến 24-10'!$B$3:$B$56,$A12,'S32 5-10 đến 24-10'!$R$3:$R$56,D$3)</f>
        <v>0</v>
      </c>
      <c r="E12" s="23" t="n">
        <f aca="false">SUMIFS('S32 5-10 đến 24-10'!$Q$3:$Q$56,'S32 5-10 đến 24-10'!$B$3:$B$56,$A12,'S32 5-10 đến 24-10'!$R$3:$R$56,E$3)</f>
        <v>0</v>
      </c>
      <c r="F12" s="23" t="n">
        <f aca="false">SUMIFS('S32 5-10 đến 24-10'!$Q$3:$Q$56,'S32 5-10 đến 24-10'!$B$3:$B$56,$A12,'S32 5-10 đến 24-10'!$R$3:$R$56,F$3)</f>
        <v>0</v>
      </c>
      <c r="G12" s="23" t="n">
        <f aca="false">SUMIFS('S32 5-10 đến 24-10'!$Q$3:$Q$56,'S32 5-10 đến 24-10'!$B$3:$B$56,$A12,'S32 5-10 đến 24-10'!$R$3:$R$56,G$3)</f>
        <v>0</v>
      </c>
      <c r="H12" s="23" t="n">
        <f aca="false">SUMIFS('S32 5-10 đến 24-10'!$Q$3:$Q$56,'S32 5-10 đến 24-10'!$B$3:$B$56,$A12,'S32 5-10 đến 24-10'!$R$3:$R$56,H$3)</f>
        <v>0</v>
      </c>
      <c r="I12" s="23" t="n">
        <f aca="false">SUMIFS('S32 5-10 đến 24-10'!$Q$3:$Q$56,'S32 5-10 đến 24-10'!$B$3:$B$56,$A12,'S32 5-10 đến 24-10'!$R$3:$R$56,I$3)</f>
        <v>4.5</v>
      </c>
      <c r="J12" s="23" t="n">
        <f aca="false">SUMIFS('S32 5-10 đến 24-10'!$Q$3:$Q$56,'S32 5-10 đến 24-10'!$B$3:$B$56,$A12,'S32 5-10 đến 24-10'!$R$3:$R$56,J$3)</f>
        <v>144</v>
      </c>
      <c r="K12" s="23" t="n">
        <f aca="false">SUMIFS('S32 5-10 đến 24-10'!$Q$3:$Q$56,'S32 5-10 đến 24-10'!$B$3:$B$56,$A12,'S32 5-10 đến 24-10'!$R$3:$R$56,K$3)</f>
        <v>0</v>
      </c>
      <c r="L12" s="23" t="n">
        <f aca="false">SUMIFS('S32 5-10 đến 24-10'!$Q$3:$Q$56,'S32 5-10 đến 24-10'!$B$3:$B$56,$A12,'S32 5-10 đến 24-10'!$R$3:$R$56,L$3)</f>
        <v>0</v>
      </c>
      <c r="M12" s="24" t="n">
        <f aca="false">SUM(D12:L12)</f>
        <v>148.5</v>
      </c>
    </row>
    <row r="13" customFormat="false" ht="15" hidden="false" customHeight="false" outlineLevel="0" collapsed="false">
      <c r="A13" s="22" t="n">
        <v>46309</v>
      </c>
      <c r="B13" s="3" t="s">
        <v>139</v>
      </c>
      <c r="C13" s="3" t="str">
        <f aca="false">"W"&amp;WEEKNUM(A13,21)</f>
        <v>W42</v>
      </c>
      <c r="D13" s="23" t="n">
        <f aca="false">SUMIFS('S32 5-10 đến 24-10'!$Q$3:$Q$56,'S32 5-10 đến 24-10'!$B$3:$B$56,$A13,'S32 5-10 đến 24-10'!$R$3:$R$56,D$3)</f>
        <v>0</v>
      </c>
      <c r="E13" s="23" t="n">
        <f aca="false">SUMIFS('S32 5-10 đến 24-10'!$Q$3:$Q$56,'S32 5-10 đến 24-10'!$B$3:$B$56,$A13,'S32 5-10 đến 24-10'!$R$3:$R$56,E$3)</f>
        <v>0</v>
      </c>
      <c r="F13" s="23" t="n">
        <f aca="false">SUMIFS('S32 5-10 đến 24-10'!$Q$3:$Q$56,'S32 5-10 đến 24-10'!$B$3:$B$56,$A13,'S32 5-10 đến 24-10'!$R$3:$R$56,F$3)</f>
        <v>0</v>
      </c>
      <c r="G13" s="23" t="n">
        <f aca="false">SUMIFS('S32 5-10 đến 24-10'!$Q$3:$Q$56,'S32 5-10 đến 24-10'!$B$3:$B$56,$A13,'S32 5-10 đến 24-10'!$R$3:$R$56,G$3)</f>
        <v>0</v>
      </c>
      <c r="H13" s="23" t="n">
        <f aca="false">SUMIFS('S32 5-10 đến 24-10'!$Q$3:$Q$56,'S32 5-10 đến 24-10'!$B$3:$B$56,$A13,'S32 5-10 đến 24-10'!$R$3:$R$56,H$3)</f>
        <v>2</v>
      </c>
      <c r="I13" s="23" t="n">
        <f aca="false">SUMIFS('S32 5-10 đến 24-10'!$Q$3:$Q$56,'S32 5-10 đến 24-10'!$B$3:$B$56,$A13,'S32 5-10 đến 24-10'!$R$3:$R$56,I$3)</f>
        <v>0</v>
      </c>
      <c r="J13" s="23" t="n">
        <f aca="false">SUMIFS('S32 5-10 đến 24-10'!$Q$3:$Q$56,'S32 5-10 đến 24-10'!$B$3:$B$56,$A13,'S32 5-10 đến 24-10'!$R$3:$R$56,J$3)</f>
        <v>144</v>
      </c>
      <c r="K13" s="23" t="n">
        <f aca="false">SUMIFS('S32 5-10 đến 24-10'!$Q$3:$Q$56,'S32 5-10 đến 24-10'!$B$3:$B$56,$A13,'S32 5-10 đến 24-10'!$R$3:$R$56,K$3)</f>
        <v>0</v>
      </c>
      <c r="L13" s="23" t="n">
        <f aca="false">SUMIFS('S32 5-10 đến 24-10'!$Q$3:$Q$56,'S32 5-10 đến 24-10'!$B$3:$B$56,$A13,'S32 5-10 đến 24-10'!$R$3:$R$56,L$3)</f>
        <v>0</v>
      </c>
      <c r="M13" s="24" t="n">
        <f aca="false">SUM(D13:L13)</f>
        <v>146</v>
      </c>
    </row>
    <row r="14" customFormat="false" ht="15" hidden="false" customHeight="false" outlineLevel="0" collapsed="false">
      <c r="A14" s="22" t="n">
        <v>46310</v>
      </c>
      <c r="B14" s="3" t="s">
        <v>140</v>
      </c>
      <c r="C14" s="3" t="str">
        <f aca="false">"W"&amp;WEEKNUM(A14,21)</f>
        <v>W42</v>
      </c>
      <c r="D14" s="23" t="n">
        <f aca="false">SUMIFS('S32 5-10 đến 24-10'!$Q$3:$Q$56,'S32 5-10 đến 24-10'!$B$3:$B$56,$A14,'S32 5-10 đến 24-10'!$R$3:$R$56,D$3)</f>
        <v>0</v>
      </c>
      <c r="E14" s="23" t="n">
        <f aca="false">SUMIFS('S32 5-10 đến 24-10'!$Q$3:$Q$56,'S32 5-10 đến 24-10'!$B$3:$B$56,$A14,'S32 5-10 đến 24-10'!$R$3:$R$56,E$3)</f>
        <v>0</v>
      </c>
      <c r="F14" s="23" t="n">
        <f aca="false">SUMIFS('S32 5-10 đến 24-10'!$Q$3:$Q$56,'S32 5-10 đến 24-10'!$B$3:$B$56,$A14,'S32 5-10 đến 24-10'!$R$3:$R$56,F$3)</f>
        <v>0</v>
      </c>
      <c r="G14" s="23" t="n">
        <f aca="false">SUMIFS('S32 5-10 đến 24-10'!$Q$3:$Q$56,'S32 5-10 đến 24-10'!$B$3:$B$56,$A14,'S32 5-10 đến 24-10'!$R$3:$R$56,G$3)</f>
        <v>0.333333333333333</v>
      </c>
      <c r="H14" s="23" t="n">
        <f aca="false">SUMIFS('S32 5-10 đến 24-10'!$Q$3:$Q$56,'S32 5-10 đến 24-10'!$B$3:$B$56,$A14,'S32 5-10 đến 24-10'!$R$3:$R$56,H$3)</f>
        <v>0</v>
      </c>
      <c r="I14" s="23" t="n">
        <f aca="false">SUMIFS('S32 5-10 đến 24-10'!$Q$3:$Q$56,'S32 5-10 đến 24-10'!$B$3:$B$56,$A14,'S32 5-10 đến 24-10'!$R$3:$R$56,I$3)</f>
        <v>0</v>
      </c>
      <c r="J14" s="23" t="n">
        <f aca="false">SUMIFS('S32 5-10 đến 24-10'!$Q$3:$Q$56,'S32 5-10 đến 24-10'!$B$3:$B$56,$A14,'S32 5-10 đến 24-10'!$R$3:$R$56,J$3)</f>
        <v>144</v>
      </c>
      <c r="K14" s="23" t="n">
        <f aca="false">SUMIFS('S32 5-10 đến 24-10'!$Q$3:$Q$56,'S32 5-10 đến 24-10'!$B$3:$B$56,$A14,'S32 5-10 đến 24-10'!$R$3:$R$56,K$3)</f>
        <v>0</v>
      </c>
      <c r="L14" s="23" t="n">
        <f aca="false">SUMIFS('S32 5-10 đến 24-10'!$Q$3:$Q$56,'S32 5-10 đến 24-10'!$B$3:$B$56,$A14,'S32 5-10 đến 24-10'!$R$3:$R$56,L$3)</f>
        <v>32</v>
      </c>
      <c r="M14" s="24" t="n">
        <f aca="false">SUM(D14:L14)</f>
        <v>176.333333333333</v>
      </c>
    </row>
    <row r="15" customFormat="false" ht="15" hidden="false" customHeight="false" outlineLevel="0" collapsed="false">
      <c r="A15" s="22" t="n">
        <v>46311</v>
      </c>
      <c r="B15" s="3" t="s">
        <v>141</v>
      </c>
      <c r="C15" s="3" t="str">
        <f aca="false">"W"&amp;WEEKNUM(A15,21)</f>
        <v>W42</v>
      </c>
      <c r="D15" s="23" t="n">
        <f aca="false">SUMIFS('S32 5-10 đến 24-10'!$Q$3:$Q$56,'S32 5-10 đến 24-10'!$B$3:$B$56,$A15,'S32 5-10 đến 24-10'!$R$3:$R$56,D$3)</f>
        <v>0</v>
      </c>
      <c r="E15" s="23" t="n">
        <f aca="false">SUMIFS('S32 5-10 đến 24-10'!$Q$3:$Q$56,'S32 5-10 đến 24-10'!$B$3:$B$56,$A15,'S32 5-10 đến 24-10'!$R$3:$R$56,E$3)</f>
        <v>0</v>
      </c>
      <c r="F15" s="23" t="n">
        <f aca="false">SUMIFS('S32 5-10 đến 24-10'!$Q$3:$Q$56,'S32 5-10 đến 24-10'!$B$3:$B$56,$A15,'S32 5-10 đến 24-10'!$R$3:$R$56,F$3)</f>
        <v>0.75</v>
      </c>
      <c r="G15" s="23" t="n">
        <f aca="false">SUMIFS('S32 5-10 đến 24-10'!$Q$3:$Q$56,'S32 5-10 đến 24-10'!$B$3:$B$56,$A15,'S32 5-10 đến 24-10'!$R$3:$R$56,G$3)</f>
        <v>0</v>
      </c>
      <c r="H15" s="23" t="n">
        <f aca="false">SUMIFS('S32 5-10 đến 24-10'!$Q$3:$Q$56,'S32 5-10 đến 24-10'!$B$3:$B$56,$A15,'S32 5-10 đến 24-10'!$R$3:$R$56,H$3)</f>
        <v>0</v>
      </c>
      <c r="I15" s="23" t="n">
        <f aca="false">SUMIFS('S32 5-10 đến 24-10'!$Q$3:$Q$56,'S32 5-10 đến 24-10'!$B$3:$B$56,$A15,'S32 5-10 đến 24-10'!$R$3:$R$56,I$3)</f>
        <v>0</v>
      </c>
      <c r="J15" s="23" t="n">
        <f aca="false">SUMIFS('S32 5-10 đến 24-10'!$Q$3:$Q$56,'S32 5-10 đến 24-10'!$B$3:$B$56,$A15,'S32 5-10 đến 24-10'!$R$3:$R$56,J$3)</f>
        <v>144</v>
      </c>
      <c r="K15" s="23" t="n">
        <f aca="false">SUMIFS('S32 5-10 đến 24-10'!$Q$3:$Q$56,'S32 5-10 đến 24-10'!$B$3:$B$56,$A15,'S32 5-10 đến 24-10'!$R$3:$R$56,K$3)</f>
        <v>9</v>
      </c>
      <c r="L15" s="23" t="n">
        <f aca="false">SUMIFS('S32 5-10 đến 24-10'!$Q$3:$Q$56,'S32 5-10 đến 24-10'!$B$3:$B$56,$A15,'S32 5-10 đến 24-10'!$R$3:$R$56,L$3)</f>
        <v>0</v>
      </c>
      <c r="M15" s="24" t="n">
        <f aca="false">SUM(D15:L15)</f>
        <v>153.75</v>
      </c>
    </row>
    <row r="16" customFormat="false" ht="15" hidden="false" customHeight="false" outlineLevel="0" collapsed="false">
      <c r="A16" s="22" t="n">
        <v>46312</v>
      </c>
      <c r="B16" s="3" t="s">
        <v>142</v>
      </c>
      <c r="C16" s="3" t="str">
        <f aca="false">"W"&amp;WEEKNUM(A16,21)</f>
        <v>W42</v>
      </c>
      <c r="D16" s="23" t="n">
        <f aca="false">SUMIFS('S32 5-10 đến 24-10'!$Q$3:$Q$56,'S32 5-10 đến 24-10'!$B$3:$B$56,$A16,'S32 5-10 đến 24-10'!$R$3:$R$56,D$3)</f>
        <v>0</v>
      </c>
      <c r="E16" s="23" t="n">
        <f aca="false">SUMIFS('S32 5-10 đến 24-10'!$Q$3:$Q$56,'S32 5-10 đến 24-10'!$B$3:$B$56,$A16,'S32 5-10 đến 24-10'!$R$3:$R$56,E$3)</f>
        <v>0</v>
      </c>
      <c r="F16" s="23" t="n">
        <f aca="false">SUMIFS('S32 5-10 đến 24-10'!$Q$3:$Q$56,'S32 5-10 đến 24-10'!$B$3:$B$56,$A16,'S32 5-10 đến 24-10'!$R$3:$R$56,F$3)</f>
        <v>0.2</v>
      </c>
      <c r="G16" s="23" t="n">
        <f aca="false">SUMIFS('S32 5-10 đến 24-10'!$Q$3:$Q$56,'S32 5-10 đến 24-10'!$B$3:$B$56,$A16,'S32 5-10 đến 24-10'!$R$3:$R$56,G$3)</f>
        <v>0</v>
      </c>
      <c r="H16" s="23" t="n">
        <f aca="false">SUMIFS('S32 5-10 đến 24-10'!$Q$3:$Q$56,'S32 5-10 đến 24-10'!$B$3:$B$56,$A16,'S32 5-10 đến 24-10'!$R$3:$R$56,H$3)</f>
        <v>0</v>
      </c>
      <c r="I16" s="23" t="n">
        <f aca="false">SUMIFS('S32 5-10 đến 24-10'!$Q$3:$Q$56,'S32 5-10 đến 24-10'!$B$3:$B$56,$A16,'S32 5-10 đến 24-10'!$R$3:$R$56,I$3)</f>
        <v>0</v>
      </c>
      <c r="J16" s="23" t="n">
        <f aca="false">SUMIFS('S32 5-10 đến 24-10'!$Q$3:$Q$56,'S32 5-10 đến 24-10'!$B$3:$B$56,$A16,'S32 5-10 đến 24-10'!$R$3:$R$56,J$3)</f>
        <v>96</v>
      </c>
      <c r="K16" s="23" t="n">
        <f aca="false">SUMIFS('S32 5-10 đến 24-10'!$Q$3:$Q$56,'S32 5-10 đến 24-10'!$B$3:$B$56,$A16,'S32 5-10 đến 24-10'!$R$3:$R$56,K$3)</f>
        <v>0</v>
      </c>
      <c r="L16" s="23" t="n">
        <f aca="false">SUMIFS('S32 5-10 đến 24-10'!$Q$3:$Q$56,'S32 5-10 đến 24-10'!$B$3:$B$56,$A16,'S32 5-10 đến 24-10'!$R$3:$R$56,L$3)</f>
        <v>0</v>
      </c>
      <c r="M16" s="24" t="n">
        <f aca="false">SUM(D16:L16)</f>
        <v>96.2</v>
      </c>
    </row>
    <row r="17" customFormat="false" ht="15" hidden="false" customHeight="false" outlineLevel="0" collapsed="false">
      <c r="A17" s="22" t="n">
        <v>46314</v>
      </c>
      <c r="B17" s="3" t="s">
        <v>137</v>
      </c>
      <c r="C17" s="3" t="str">
        <f aca="false">"W"&amp;WEEKNUM(A17,21)</f>
        <v>W43</v>
      </c>
      <c r="D17" s="23" t="n">
        <f aca="false">SUMIFS('S32 5-10 đến 24-10'!$Q$3:$Q$56,'S32 5-10 đến 24-10'!$B$3:$B$56,$A17,'S32 5-10 đến 24-10'!$R$3:$R$56,D$3)</f>
        <v>0</v>
      </c>
      <c r="E17" s="23" t="n">
        <f aca="false">SUMIFS('S32 5-10 đến 24-10'!$Q$3:$Q$56,'S32 5-10 đến 24-10'!$B$3:$B$56,$A17,'S32 5-10 đến 24-10'!$R$3:$R$56,E$3)</f>
        <v>0</v>
      </c>
      <c r="F17" s="23" t="n">
        <f aca="false">SUMIFS('S32 5-10 đến 24-10'!$Q$3:$Q$56,'S32 5-10 đến 24-10'!$B$3:$B$56,$A17,'S32 5-10 đến 24-10'!$R$3:$R$56,F$3)</f>
        <v>0.35</v>
      </c>
      <c r="G17" s="23" t="n">
        <f aca="false">SUMIFS('S32 5-10 đến 24-10'!$Q$3:$Q$56,'S32 5-10 đến 24-10'!$B$3:$B$56,$A17,'S32 5-10 đến 24-10'!$R$3:$R$56,G$3)</f>
        <v>0</v>
      </c>
      <c r="H17" s="23" t="n">
        <f aca="false">SUMIFS('S32 5-10 đến 24-10'!$Q$3:$Q$56,'S32 5-10 đến 24-10'!$B$3:$B$56,$A17,'S32 5-10 đến 24-10'!$R$3:$R$56,H$3)</f>
        <v>0</v>
      </c>
      <c r="I17" s="23" t="n">
        <f aca="false">SUMIFS('S32 5-10 đến 24-10'!$Q$3:$Q$56,'S32 5-10 đến 24-10'!$B$3:$B$56,$A17,'S32 5-10 đến 24-10'!$R$3:$R$56,I$3)</f>
        <v>0</v>
      </c>
      <c r="J17" s="23" t="n">
        <f aca="false">SUMIFS('S32 5-10 đến 24-10'!$Q$3:$Q$56,'S32 5-10 đến 24-10'!$B$3:$B$56,$A17,'S32 5-10 đến 24-10'!$R$3:$R$56,J$3)</f>
        <v>0</v>
      </c>
      <c r="K17" s="23" t="n">
        <f aca="false">SUMIFS('S32 5-10 đến 24-10'!$Q$3:$Q$56,'S32 5-10 đến 24-10'!$B$3:$B$56,$A17,'S32 5-10 đến 24-10'!$R$3:$R$56,K$3)</f>
        <v>0</v>
      </c>
      <c r="L17" s="23" t="n">
        <f aca="false">SUMIFS('S32 5-10 đến 24-10'!$Q$3:$Q$56,'S32 5-10 đến 24-10'!$B$3:$B$56,$A17,'S32 5-10 đến 24-10'!$R$3:$R$56,L$3)</f>
        <v>0</v>
      </c>
      <c r="M17" s="24" t="n">
        <f aca="false">SUM(D17:L17)</f>
        <v>0.35</v>
      </c>
    </row>
    <row r="18" customFormat="false" ht="15" hidden="false" customHeight="false" outlineLevel="0" collapsed="false">
      <c r="A18" s="22" t="n">
        <v>46315</v>
      </c>
      <c r="B18" s="3" t="s">
        <v>138</v>
      </c>
      <c r="C18" s="3" t="str">
        <f aca="false">"W"&amp;WEEKNUM(A18,21)</f>
        <v>W43</v>
      </c>
      <c r="D18" s="23" t="n">
        <f aca="false">SUMIFS('S32 5-10 đến 24-10'!$Q$3:$Q$56,'S32 5-10 đến 24-10'!$B$3:$B$56,$A18,'S32 5-10 đến 24-10'!$R$3:$R$56,D$3)</f>
        <v>0</v>
      </c>
      <c r="E18" s="23" t="n">
        <f aca="false">SUMIFS('S32 5-10 đến 24-10'!$Q$3:$Q$56,'S32 5-10 đến 24-10'!$B$3:$B$56,$A18,'S32 5-10 đến 24-10'!$R$3:$R$56,E$3)</f>
        <v>0</v>
      </c>
      <c r="F18" s="23" t="n">
        <f aca="false">SUMIFS('S32 5-10 đến 24-10'!$Q$3:$Q$56,'S32 5-10 đến 24-10'!$B$3:$B$56,$A18,'S32 5-10 đến 24-10'!$R$3:$R$56,F$3)</f>
        <v>0.4</v>
      </c>
      <c r="G18" s="23" t="n">
        <f aca="false">SUMIFS('S32 5-10 đến 24-10'!$Q$3:$Q$56,'S32 5-10 đến 24-10'!$B$3:$B$56,$A18,'S32 5-10 đến 24-10'!$R$3:$R$56,G$3)</f>
        <v>4</v>
      </c>
      <c r="H18" s="23" t="n">
        <f aca="false">SUMIFS('S32 5-10 đến 24-10'!$Q$3:$Q$56,'S32 5-10 đến 24-10'!$B$3:$B$56,$A18,'S32 5-10 đến 24-10'!$R$3:$R$56,H$3)</f>
        <v>0</v>
      </c>
      <c r="I18" s="23" t="n">
        <f aca="false">SUMIFS('S32 5-10 đến 24-10'!$Q$3:$Q$56,'S32 5-10 đến 24-10'!$B$3:$B$56,$A18,'S32 5-10 đến 24-10'!$R$3:$R$56,I$3)</f>
        <v>0</v>
      </c>
      <c r="J18" s="23" t="n">
        <f aca="false">SUMIFS('S32 5-10 đến 24-10'!$Q$3:$Q$56,'S32 5-10 đến 24-10'!$B$3:$B$56,$A18,'S32 5-10 đến 24-10'!$R$3:$R$56,J$3)</f>
        <v>0</v>
      </c>
      <c r="K18" s="23" t="n">
        <f aca="false">SUMIFS('S32 5-10 đến 24-10'!$Q$3:$Q$56,'S32 5-10 đến 24-10'!$B$3:$B$56,$A18,'S32 5-10 đến 24-10'!$R$3:$R$56,K$3)</f>
        <v>0</v>
      </c>
      <c r="L18" s="23" t="n">
        <f aca="false">SUMIFS('S32 5-10 đến 24-10'!$Q$3:$Q$56,'S32 5-10 đến 24-10'!$B$3:$B$56,$A18,'S32 5-10 đến 24-10'!$R$3:$R$56,L$3)</f>
        <v>0</v>
      </c>
      <c r="M18" s="24" t="n">
        <f aca="false">SUM(D18:L18)</f>
        <v>4.4</v>
      </c>
    </row>
    <row r="19" customFormat="false" ht="15" hidden="false" customHeight="false" outlineLevel="0" collapsed="false">
      <c r="A19" s="22" t="n">
        <v>46317</v>
      </c>
      <c r="B19" s="3" t="s">
        <v>140</v>
      </c>
      <c r="C19" s="3" t="str">
        <f aca="false">"W"&amp;WEEKNUM(A19,21)</f>
        <v>W43</v>
      </c>
      <c r="D19" s="23" t="n">
        <f aca="false">SUMIFS('S32 5-10 đến 24-10'!$Q$3:$Q$56,'S32 5-10 đến 24-10'!$B$3:$B$56,$A19,'S32 5-10 đến 24-10'!$R$3:$R$56,D$3)</f>
        <v>0</v>
      </c>
      <c r="E19" s="23" t="n">
        <f aca="false">SUMIFS('S32 5-10 đến 24-10'!$Q$3:$Q$56,'S32 5-10 đến 24-10'!$B$3:$B$56,$A19,'S32 5-10 đến 24-10'!$R$3:$R$56,E$3)</f>
        <v>0</v>
      </c>
      <c r="F19" s="23" t="n">
        <f aca="false">SUMIFS('S32 5-10 đến 24-10'!$Q$3:$Q$56,'S32 5-10 đến 24-10'!$B$3:$B$56,$A19,'S32 5-10 đến 24-10'!$R$3:$R$56,F$3)</f>
        <v>3.1</v>
      </c>
      <c r="G19" s="23" t="n">
        <f aca="false">SUMIFS('S32 5-10 đến 24-10'!$Q$3:$Q$56,'S32 5-10 đến 24-10'!$B$3:$B$56,$A19,'S32 5-10 đến 24-10'!$R$3:$R$56,G$3)</f>
        <v>0</v>
      </c>
      <c r="H19" s="23" t="n">
        <f aca="false">SUMIFS('S32 5-10 đến 24-10'!$Q$3:$Q$56,'S32 5-10 đến 24-10'!$B$3:$B$56,$A19,'S32 5-10 đến 24-10'!$R$3:$R$56,H$3)</f>
        <v>0</v>
      </c>
      <c r="I19" s="23" t="n">
        <f aca="false">SUMIFS('S32 5-10 đến 24-10'!$Q$3:$Q$56,'S32 5-10 đến 24-10'!$B$3:$B$56,$A19,'S32 5-10 đến 24-10'!$R$3:$R$56,I$3)</f>
        <v>0</v>
      </c>
      <c r="J19" s="23" t="n">
        <f aca="false">SUMIFS('S32 5-10 đến 24-10'!$Q$3:$Q$56,'S32 5-10 đến 24-10'!$B$3:$B$56,$A19,'S32 5-10 đến 24-10'!$R$3:$R$56,J$3)</f>
        <v>0</v>
      </c>
      <c r="K19" s="23" t="n">
        <f aca="false">SUMIFS('S32 5-10 đến 24-10'!$Q$3:$Q$56,'S32 5-10 đến 24-10'!$B$3:$B$56,$A19,'S32 5-10 đến 24-10'!$R$3:$R$56,K$3)</f>
        <v>0</v>
      </c>
      <c r="L19" s="23" t="n">
        <f aca="false">SUMIFS('S32 5-10 đến 24-10'!$Q$3:$Q$56,'S32 5-10 đến 24-10'!$B$3:$B$56,$A19,'S32 5-10 đến 24-10'!$R$3:$R$56,L$3)</f>
        <v>0</v>
      </c>
      <c r="M19" s="24" t="n">
        <f aca="false">SUM(D19:L19)</f>
        <v>3.1</v>
      </c>
    </row>
    <row r="20" customFormat="false" ht="15" hidden="false" customHeight="false" outlineLevel="0" collapsed="false">
      <c r="A20" s="22" t="n">
        <v>46318</v>
      </c>
      <c r="B20" s="3" t="s">
        <v>141</v>
      </c>
      <c r="C20" s="3" t="str">
        <f aca="false">"W"&amp;WEEKNUM(A20,21)</f>
        <v>W43</v>
      </c>
      <c r="D20" s="23" t="n">
        <f aca="false">SUMIFS('S32 5-10 đến 24-10'!$Q$3:$Q$56,'S32 5-10 đến 24-10'!$B$3:$B$56,$A20,'S32 5-10 đến 24-10'!$R$3:$R$56,D$3)</f>
        <v>0</v>
      </c>
      <c r="E20" s="23" t="n">
        <f aca="false">SUMIFS('S32 5-10 đến 24-10'!$Q$3:$Q$56,'S32 5-10 đến 24-10'!$B$3:$B$56,$A20,'S32 5-10 đến 24-10'!$R$3:$R$56,E$3)</f>
        <v>0</v>
      </c>
      <c r="F20" s="23" t="n">
        <f aca="false">SUMIFS('S32 5-10 đến 24-10'!$Q$3:$Q$56,'S32 5-10 đến 24-10'!$B$3:$B$56,$A20,'S32 5-10 đến 24-10'!$R$3:$R$56,F$3)</f>
        <v>0</v>
      </c>
      <c r="G20" s="23" t="n">
        <f aca="false">SUMIFS('S32 5-10 đến 24-10'!$Q$3:$Q$56,'S32 5-10 đến 24-10'!$B$3:$B$56,$A20,'S32 5-10 đến 24-10'!$R$3:$R$56,G$3)</f>
        <v>0</v>
      </c>
      <c r="H20" s="23" t="n">
        <f aca="false">SUMIFS('S32 5-10 đến 24-10'!$Q$3:$Q$56,'S32 5-10 đến 24-10'!$B$3:$B$56,$A20,'S32 5-10 đến 24-10'!$R$3:$R$56,H$3)</f>
        <v>3.6</v>
      </c>
      <c r="I20" s="23" t="n">
        <f aca="false">SUMIFS('S32 5-10 đến 24-10'!$Q$3:$Q$56,'S32 5-10 đến 24-10'!$B$3:$B$56,$A20,'S32 5-10 đến 24-10'!$R$3:$R$56,I$3)</f>
        <v>0</v>
      </c>
      <c r="J20" s="23" t="n">
        <f aca="false">SUMIFS('S32 5-10 đến 24-10'!$Q$3:$Q$56,'S32 5-10 đến 24-10'!$B$3:$B$56,$A20,'S32 5-10 đến 24-10'!$R$3:$R$56,J$3)</f>
        <v>0</v>
      </c>
      <c r="K20" s="23" t="n">
        <f aca="false">SUMIFS('S32 5-10 đến 24-10'!$Q$3:$Q$56,'S32 5-10 đến 24-10'!$B$3:$B$56,$A20,'S32 5-10 đến 24-10'!$R$3:$R$56,K$3)</f>
        <v>0</v>
      </c>
      <c r="L20" s="23" t="n">
        <f aca="false">SUMIFS('S32 5-10 đến 24-10'!$Q$3:$Q$56,'S32 5-10 đến 24-10'!$B$3:$B$56,$A20,'S32 5-10 đến 24-10'!$R$3:$R$56,L$3)</f>
        <v>0</v>
      </c>
      <c r="M20" s="24" t="n">
        <f aca="false">SUM(D20:L20)</f>
        <v>3.6</v>
      </c>
    </row>
    <row r="21" customFormat="false" ht="15" hidden="false" customHeight="false" outlineLevel="0" collapsed="false">
      <c r="A21" s="22" t="n">
        <v>46319</v>
      </c>
      <c r="B21" s="3" t="s">
        <v>142</v>
      </c>
      <c r="C21" s="3" t="str">
        <f aca="false">"W"&amp;WEEKNUM(A21,21)</f>
        <v>W43</v>
      </c>
      <c r="D21" s="23" t="n">
        <f aca="false">SUMIFS('S32 5-10 đến 24-10'!$Q$3:$Q$56,'S32 5-10 đến 24-10'!$B$3:$B$56,$A21,'S32 5-10 đến 24-10'!$R$3:$R$56,D$3)</f>
        <v>0</v>
      </c>
      <c r="E21" s="23" t="n">
        <f aca="false">SUMIFS('S32 5-10 đến 24-10'!$Q$3:$Q$56,'S32 5-10 đến 24-10'!$B$3:$B$56,$A21,'S32 5-10 đến 24-10'!$R$3:$R$56,E$3)</f>
        <v>0</v>
      </c>
      <c r="F21" s="23" t="n">
        <f aca="false">SUMIFS('S32 5-10 đến 24-10'!$Q$3:$Q$56,'S32 5-10 đến 24-10'!$B$3:$B$56,$A21,'S32 5-10 đến 24-10'!$R$3:$R$56,F$3)</f>
        <v>0.3</v>
      </c>
      <c r="G21" s="23" t="n">
        <f aca="false">SUMIFS('S32 5-10 đến 24-10'!$Q$3:$Q$56,'S32 5-10 đến 24-10'!$B$3:$B$56,$A21,'S32 5-10 đến 24-10'!$R$3:$R$56,G$3)</f>
        <v>51</v>
      </c>
      <c r="H21" s="23" t="n">
        <f aca="false">SUMIFS('S32 5-10 đến 24-10'!$Q$3:$Q$56,'S32 5-10 đến 24-10'!$B$3:$B$56,$A21,'S32 5-10 đến 24-10'!$R$3:$R$56,H$3)</f>
        <v>0</v>
      </c>
      <c r="I21" s="23" t="n">
        <f aca="false">SUMIFS('S32 5-10 đến 24-10'!$Q$3:$Q$56,'S32 5-10 đến 24-10'!$B$3:$B$56,$A21,'S32 5-10 đến 24-10'!$R$3:$R$56,I$3)</f>
        <v>0</v>
      </c>
      <c r="J21" s="23" t="n">
        <f aca="false">SUMIFS('S32 5-10 đến 24-10'!$Q$3:$Q$56,'S32 5-10 đến 24-10'!$B$3:$B$56,$A21,'S32 5-10 đến 24-10'!$R$3:$R$56,J$3)</f>
        <v>0</v>
      </c>
      <c r="K21" s="23" t="n">
        <f aca="false">SUMIFS('S32 5-10 đến 24-10'!$Q$3:$Q$56,'S32 5-10 đến 24-10'!$B$3:$B$56,$A21,'S32 5-10 đến 24-10'!$R$3:$R$56,K$3)</f>
        <v>0</v>
      </c>
      <c r="L21" s="23" t="n">
        <f aca="false">SUMIFS('S32 5-10 đến 24-10'!$Q$3:$Q$56,'S32 5-10 đến 24-10'!$B$3:$B$56,$A21,'S32 5-10 đến 24-10'!$R$3:$R$56,L$3)</f>
        <v>0</v>
      </c>
      <c r="M21" s="24" t="n">
        <f aca="false">SUM(D21:L21)</f>
        <v>51.3</v>
      </c>
    </row>
    <row r="22" customFormat="false" ht="15" hidden="false" customHeight="false" outlineLevel="0" collapsed="false">
      <c r="A22" s="25" t="s">
        <v>130</v>
      </c>
      <c r="B22" s="25"/>
      <c r="C22" s="25"/>
      <c r="D22" s="24" t="n">
        <f aca="false">SUM(D4:D21)</f>
        <v>101</v>
      </c>
      <c r="E22" s="24" t="n">
        <f aca="false">SUM(E4:E21)</f>
        <v>776</v>
      </c>
      <c r="F22" s="24" t="n">
        <f aca="false">SUM(F4:F21)</f>
        <v>5.9</v>
      </c>
      <c r="G22" s="24" t="n">
        <f aca="false">SUM(G4:G21)</f>
        <v>58.3333333333333</v>
      </c>
      <c r="H22" s="24" t="n">
        <f aca="false">SUM(H4:H21)</f>
        <v>5.6</v>
      </c>
      <c r="I22" s="24" t="n">
        <f aca="false">SUM(I4:I21)</f>
        <v>22.5</v>
      </c>
      <c r="J22" s="24" t="n">
        <f aca="false">SUM(J4:J21)</f>
        <v>816</v>
      </c>
      <c r="K22" s="24" t="n">
        <f aca="false">SUM(K4:K21)</f>
        <v>9</v>
      </c>
      <c r="L22" s="24" t="n">
        <f aca="false">SUM(L4:L21)</f>
        <v>32</v>
      </c>
      <c r="M22" s="24" t="n">
        <f aca="false">SUM(M4:M21)</f>
        <v>1826.33333333333</v>
      </c>
    </row>
    <row r="24" customFormat="false" ht="15" hidden="false" customHeight="false" outlineLevel="0" collapsed="false">
      <c r="A24" s="18" t="s">
        <v>144</v>
      </c>
    </row>
    <row r="25" customFormat="false" ht="15" hidden="false" customHeight="false" outlineLevel="0" collapsed="false">
      <c r="A25" s="2" t="s">
        <v>135</v>
      </c>
      <c r="B25" s="2" t="s">
        <v>145</v>
      </c>
    </row>
    <row r="26" customFormat="false" ht="15" hidden="false" customHeight="false" outlineLevel="0" collapsed="false">
      <c r="A26" s="26" t="s">
        <v>146</v>
      </c>
      <c r="B26" s="27" t="n">
        <f aca="false">SUMIFS('S32 5-10 đến 24-10'!$Q$3:$Q$56,'S32 5-10 đến 24-10'!$A$3:$A$56,A26)</f>
        <v>880.8</v>
      </c>
    </row>
    <row r="27" customFormat="false" ht="15" hidden="false" customHeight="false" outlineLevel="0" collapsed="false">
      <c r="A27" s="26" t="s">
        <v>147</v>
      </c>
      <c r="B27" s="27" t="n">
        <f aca="false">SUMIFS('S32 5-10 đến 24-10'!$Q$3:$Q$56,'S32 5-10 đến 24-10'!$A$3:$A$56,A27)</f>
        <v>882.783333333333</v>
      </c>
    </row>
    <row r="28" customFormat="false" ht="15" hidden="false" customHeight="false" outlineLevel="0" collapsed="false">
      <c r="A28" s="26" t="s">
        <v>148</v>
      </c>
      <c r="B28" s="27" t="n">
        <f aca="false">SUMIFS('S32 5-10 đến 24-10'!$Q$3:$Q$56,'S32 5-10 đến 24-10'!$A$3:$A$56,A28)</f>
        <v>62.75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4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7" min="6" style="0" width="8"/>
    <col collapsed="false" customWidth="true" hidden="false" outlineLevel="0" max="8" min="8" style="0" width="10"/>
    <col collapsed="false" customWidth="true" hidden="false" outlineLevel="0" max="9" min="9" style="0" width="30"/>
    <col collapsed="false" customWidth="true" hidden="false" outlineLevel="0" max="10" min="10" style="0" width="12"/>
    <col collapsed="false" customWidth="true" hidden="false" outlineLevel="0" max="11" min="11" style="0" width="36"/>
    <col collapsed="false" customWidth="true" hidden="false" outlineLevel="0" max="12" min="12" style="0" width="22"/>
  </cols>
  <sheetData>
    <row r="1" customFormat="false" ht="33.75" hidden="false" customHeight="true" outlineLevel="0" collapsed="false">
      <c r="A1" s="2" t="s">
        <v>149</v>
      </c>
      <c r="B1" s="2" t="s">
        <v>150</v>
      </c>
      <c r="C1" s="2" t="s">
        <v>151</v>
      </c>
      <c r="D1" s="2" t="s">
        <v>152</v>
      </c>
      <c r="E1" s="2" t="s">
        <v>153</v>
      </c>
      <c r="F1" s="2" t="s">
        <v>13</v>
      </c>
      <c r="G1" s="2" t="s">
        <v>14</v>
      </c>
      <c r="H1" s="2" t="s">
        <v>154</v>
      </c>
      <c r="I1" s="28" t="s">
        <v>155</v>
      </c>
      <c r="J1" s="28" t="s">
        <v>156</v>
      </c>
      <c r="K1" s="28" t="s">
        <v>157</v>
      </c>
      <c r="L1" s="28" t="s">
        <v>158</v>
      </c>
    </row>
    <row r="2" customFormat="false" ht="25.35" hidden="false" customHeight="false" outlineLevel="0" collapsed="false">
      <c r="A2" s="29" t="n">
        <v>46300</v>
      </c>
      <c r="B2" s="30" t="s">
        <v>21</v>
      </c>
      <c r="C2" s="31" t="s">
        <v>24</v>
      </c>
      <c r="D2" s="30" t="s">
        <v>20</v>
      </c>
      <c r="E2" s="30" t="s">
        <v>23</v>
      </c>
      <c r="F2" s="32" t="n">
        <v>0.270833333333333</v>
      </c>
      <c r="G2" s="32" t="n">
        <v>0.4375</v>
      </c>
      <c r="H2" s="30" t="n">
        <v>4</v>
      </c>
      <c r="I2" s="33" t="s">
        <v>19</v>
      </c>
      <c r="J2" s="34" t="n">
        <v>25</v>
      </c>
      <c r="K2" s="35" t="s">
        <v>25</v>
      </c>
      <c r="L2" s="34" t="s">
        <v>26</v>
      </c>
    </row>
    <row r="3" customFormat="false" ht="25.35" hidden="false" customHeight="false" outlineLevel="0" collapsed="false">
      <c r="A3" s="29" t="n">
        <v>46300</v>
      </c>
      <c r="B3" s="30" t="s">
        <v>21</v>
      </c>
      <c r="C3" s="31" t="s">
        <v>28</v>
      </c>
      <c r="D3" s="30" t="s">
        <v>20</v>
      </c>
      <c r="E3" s="30" t="s">
        <v>23</v>
      </c>
      <c r="F3" s="32" t="n">
        <v>0.291666666666667</v>
      </c>
      <c r="G3" s="32" t="n">
        <v>0.541666666666667</v>
      </c>
      <c r="H3" s="30" t="n">
        <v>5</v>
      </c>
      <c r="I3" s="33" t="s">
        <v>27</v>
      </c>
      <c r="J3" s="34" t="n">
        <v>50</v>
      </c>
      <c r="K3" s="35" t="s">
        <v>29</v>
      </c>
      <c r="L3" s="34" t="s">
        <v>26</v>
      </c>
    </row>
    <row r="4" customFormat="false" ht="15" hidden="false" customHeight="false" outlineLevel="0" collapsed="false">
      <c r="A4" s="29" t="n">
        <v>46300</v>
      </c>
      <c r="B4" s="30" t="s">
        <v>21</v>
      </c>
      <c r="C4" s="31" t="s">
        <v>31</v>
      </c>
      <c r="D4" s="30" t="s">
        <v>20</v>
      </c>
      <c r="E4" s="30" t="s">
        <v>30</v>
      </c>
      <c r="F4" s="32" t="n">
        <v>0.3125</v>
      </c>
      <c r="G4" s="32" t="n">
        <v>0.645833333333333</v>
      </c>
      <c r="H4" s="30" t="n">
        <v>11</v>
      </c>
      <c r="I4" s="33"/>
      <c r="J4" s="34"/>
      <c r="K4" s="35" t="s">
        <v>32</v>
      </c>
      <c r="L4" s="34" t="s">
        <v>33</v>
      </c>
    </row>
    <row r="5" customFormat="false" ht="15" hidden="false" customHeight="false" outlineLevel="0" collapsed="false">
      <c r="A5" s="29" t="n">
        <v>46300</v>
      </c>
      <c r="B5" s="30" t="s">
        <v>21</v>
      </c>
      <c r="C5" s="31" t="s">
        <v>31</v>
      </c>
      <c r="D5" s="30" t="s">
        <v>20</v>
      </c>
      <c r="E5" s="30" t="s">
        <v>30</v>
      </c>
      <c r="F5" s="32" t="n">
        <v>0.645833333333333</v>
      </c>
      <c r="G5" s="32" t="n">
        <v>0.8125</v>
      </c>
      <c r="H5" s="30" t="n">
        <v>8</v>
      </c>
      <c r="I5" s="33"/>
      <c r="J5" s="34"/>
      <c r="K5" s="35" t="s">
        <v>34</v>
      </c>
      <c r="L5" s="34" t="s">
        <v>33</v>
      </c>
    </row>
    <row r="6" customFormat="false" ht="25.35" hidden="false" customHeight="false" outlineLevel="0" collapsed="false">
      <c r="A6" s="29" t="n">
        <v>46301</v>
      </c>
      <c r="B6" s="30" t="s">
        <v>21</v>
      </c>
      <c r="C6" s="31" t="s">
        <v>35</v>
      </c>
      <c r="D6" s="30" t="s">
        <v>20</v>
      </c>
      <c r="E6" s="30" t="s">
        <v>23</v>
      </c>
      <c r="F6" s="32" t="n">
        <v>0.291666666666667</v>
      </c>
      <c r="G6" s="32" t="n">
        <v>0.75</v>
      </c>
      <c r="H6" s="30" t="n">
        <v>5</v>
      </c>
      <c r="I6" s="33" t="s">
        <v>27</v>
      </c>
      <c r="J6" s="34" t="n">
        <v>50</v>
      </c>
      <c r="K6" s="35" t="s">
        <v>36</v>
      </c>
      <c r="L6" s="34" t="s">
        <v>26</v>
      </c>
    </row>
    <row r="7" customFormat="false" ht="15" hidden="false" customHeight="false" outlineLevel="0" collapsed="false">
      <c r="A7" s="29" t="n">
        <v>46301</v>
      </c>
      <c r="B7" s="30" t="s">
        <v>21</v>
      </c>
      <c r="C7" s="31" t="s">
        <v>31</v>
      </c>
      <c r="D7" s="30" t="s">
        <v>20</v>
      </c>
      <c r="E7" s="30" t="s">
        <v>30</v>
      </c>
      <c r="F7" s="32" t="n">
        <v>0.3125</v>
      </c>
      <c r="G7" s="32" t="n">
        <v>0.645833333333333</v>
      </c>
      <c r="H7" s="30" t="n">
        <v>11</v>
      </c>
      <c r="I7" s="33"/>
      <c r="J7" s="34"/>
      <c r="K7" s="35" t="s">
        <v>32</v>
      </c>
      <c r="L7" s="34" t="s">
        <v>33</v>
      </c>
    </row>
    <row r="8" customFormat="false" ht="15" hidden="false" customHeight="false" outlineLevel="0" collapsed="false">
      <c r="A8" s="29" t="n">
        <v>46301</v>
      </c>
      <c r="B8" s="30" t="s">
        <v>21</v>
      </c>
      <c r="C8" s="31" t="s">
        <v>31</v>
      </c>
      <c r="D8" s="30" t="s">
        <v>20</v>
      </c>
      <c r="E8" s="30" t="s">
        <v>30</v>
      </c>
      <c r="F8" s="32" t="n">
        <v>0.645833333333333</v>
      </c>
      <c r="G8" s="32" t="n">
        <v>0.8125</v>
      </c>
      <c r="H8" s="30" t="n">
        <v>8</v>
      </c>
      <c r="I8" s="33"/>
      <c r="J8" s="34"/>
      <c r="K8" s="35" t="s">
        <v>34</v>
      </c>
      <c r="L8" s="34" t="s">
        <v>33</v>
      </c>
    </row>
    <row r="9" customFormat="false" ht="15" hidden="false" customHeight="false" outlineLevel="0" collapsed="false">
      <c r="A9" s="29" t="n">
        <v>46302</v>
      </c>
      <c r="B9" s="30" t="s">
        <v>21</v>
      </c>
      <c r="C9" s="31" t="s">
        <v>31</v>
      </c>
      <c r="D9" s="30" t="s">
        <v>20</v>
      </c>
      <c r="E9" s="30" t="s">
        <v>30</v>
      </c>
      <c r="F9" s="32" t="n">
        <v>0.3125</v>
      </c>
      <c r="G9" s="32" t="n">
        <v>0.645833333333333</v>
      </c>
      <c r="H9" s="30" t="n">
        <v>10</v>
      </c>
      <c r="I9" s="33"/>
      <c r="J9" s="34"/>
      <c r="K9" s="35" t="s">
        <v>32</v>
      </c>
      <c r="L9" s="34" t="s">
        <v>33</v>
      </c>
    </row>
    <row r="10" customFormat="false" ht="15" hidden="false" customHeight="false" outlineLevel="0" collapsed="false">
      <c r="A10" s="29" t="n">
        <v>46302</v>
      </c>
      <c r="B10" s="30" t="s">
        <v>21</v>
      </c>
      <c r="C10" s="31" t="s">
        <v>31</v>
      </c>
      <c r="D10" s="30" t="s">
        <v>20</v>
      </c>
      <c r="E10" s="30" t="s">
        <v>30</v>
      </c>
      <c r="F10" s="32" t="n">
        <v>0.645833333333333</v>
      </c>
      <c r="G10" s="32" t="n">
        <v>0.8125</v>
      </c>
      <c r="H10" s="30" t="n">
        <v>8</v>
      </c>
      <c r="I10" s="33"/>
      <c r="J10" s="34"/>
      <c r="K10" s="35" t="s">
        <v>34</v>
      </c>
      <c r="L10" s="34" t="s">
        <v>33</v>
      </c>
    </row>
    <row r="11" customFormat="false" ht="15" hidden="false" customHeight="false" outlineLevel="0" collapsed="false">
      <c r="A11" s="29" t="n">
        <v>46303</v>
      </c>
      <c r="B11" s="30" t="s">
        <v>21</v>
      </c>
      <c r="C11" s="31" t="s">
        <v>31</v>
      </c>
      <c r="D11" s="30" t="s">
        <v>20</v>
      </c>
      <c r="E11" s="30" t="s">
        <v>30</v>
      </c>
      <c r="F11" s="32" t="n">
        <v>0.3125</v>
      </c>
      <c r="G11" s="32" t="n">
        <v>0.645833333333333</v>
      </c>
      <c r="H11" s="30" t="n">
        <v>10</v>
      </c>
      <c r="I11" s="33"/>
      <c r="J11" s="34"/>
      <c r="K11" s="35" t="s">
        <v>32</v>
      </c>
      <c r="L11" s="34" t="s">
        <v>33</v>
      </c>
    </row>
    <row r="12" customFormat="false" ht="15" hidden="false" customHeight="false" outlineLevel="0" collapsed="false">
      <c r="A12" s="29" t="n">
        <v>46303</v>
      </c>
      <c r="B12" s="30" t="s">
        <v>21</v>
      </c>
      <c r="C12" s="31" t="s">
        <v>31</v>
      </c>
      <c r="D12" s="30" t="s">
        <v>20</v>
      </c>
      <c r="E12" s="30" t="s">
        <v>30</v>
      </c>
      <c r="F12" s="32" t="n">
        <v>0.645833333333333</v>
      </c>
      <c r="G12" s="32" t="n">
        <v>0.8125</v>
      </c>
      <c r="H12" s="30" t="n">
        <v>6</v>
      </c>
      <c r="I12" s="33"/>
      <c r="J12" s="34"/>
      <c r="K12" s="35" t="s">
        <v>34</v>
      </c>
      <c r="L12" s="34" t="s">
        <v>33</v>
      </c>
    </row>
    <row r="13" customFormat="false" ht="15" hidden="false" customHeight="false" outlineLevel="0" collapsed="false">
      <c r="A13" s="29" t="n">
        <v>46303</v>
      </c>
      <c r="B13" s="30" t="s">
        <v>21</v>
      </c>
      <c r="C13" s="31" t="s">
        <v>39</v>
      </c>
      <c r="D13" s="30" t="s">
        <v>20</v>
      </c>
      <c r="E13" s="30" t="s">
        <v>38</v>
      </c>
      <c r="F13" s="32" t="n">
        <v>0.791666666666667</v>
      </c>
      <c r="G13" s="32" t="n">
        <v>0.793055555555556</v>
      </c>
      <c r="H13" s="30" t="n">
        <v>3</v>
      </c>
      <c r="I13" s="33" t="s">
        <v>37</v>
      </c>
      <c r="J13" s="34" t="n">
        <v>1</v>
      </c>
      <c r="K13" s="35" t="s">
        <v>40</v>
      </c>
      <c r="L13" s="34" t="s">
        <v>41</v>
      </c>
    </row>
    <row r="14" customFormat="false" ht="15" hidden="false" customHeight="false" outlineLevel="0" collapsed="false">
      <c r="A14" s="29" t="n">
        <v>46303</v>
      </c>
      <c r="B14" s="30" t="s">
        <v>21</v>
      </c>
      <c r="C14" s="31" t="s">
        <v>43</v>
      </c>
      <c r="D14" s="30" t="s">
        <v>20</v>
      </c>
      <c r="E14" s="30" t="s">
        <v>38</v>
      </c>
      <c r="F14" s="32" t="n">
        <v>0.795138888888889</v>
      </c>
      <c r="G14" s="32" t="n">
        <v>0.796527777777778</v>
      </c>
      <c r="H14" s="30" t="n">
        <v>3</v>
      </c>
      <c r="I14" s="33" t="s">
        <v>42</v>
      </c>
      <c r="J14" s="34" t="n">
        <v>1</v>
      </c>
      <c r="K14" s="35" t="s">
        <v>44</v>
      </c>
      <c r="L14" s="34" t="s">
        <v>41</v>
      </c>
    </row>
    <row r="15" customFormat="false" ht="15" hidden="false" customHeight="false" outlineLevel="0" collapsed="false">
      <c r="A15" s="29" t="n">
        <v>46304</v>
      </c>
      <c r="B15" s="30" t="s">
        <v>21</v>
      </c>
      <c r="C15" s="31" t="s">
        <v>31</v>
      </c>
      <c r="D15" s="30" t="s">
        <v>20</v>
      </c>
      <c r="E15" s="30" t="s">
        <v>30</v>
      </c>
      <c r="F15" s="32" t="n">
        <v>0.3125</v>
      </c>
      <c r="G15" s="32" t="n">
        <v>0.645833333333333</v>
      </c>
      <c r="H15" s="30" t="n">
        <v>12</v>
      </c>
      <c r="I15" s="33"/>
      <c r="J15" s="34"/>
      <c r="K15" s="35" t="s">
        <v>32</v>
      </c>
      <c r="L15" s="34" t="s">
        <v>33</v>
      </c>
    </row>
    <row r="16" customFormat="false" ht="15" hidden="false" customHeight="false" outlineLevel="0" collapsed="false">
      <c r="A16" s="29" t="n">
        <v>46304</v>
      </c>
      <c r="B16" s="30" t="s">
        <v>21</v>
      </c>
      <c r="C16" s="31" t="s">
        <v>31</v>
      </c>
      <c r="D16" s="30" t="s">
        <v>20</v>
      </c>
      <c r="E16" s="30" t="s">
        <v>30</v>
      </c>
      <c r="F16" s="32" t="n">
        <v>0.645833333333333</v>
      </c>
      <c r="G16" s="32" t="n">
        <v>0.8125</v>
      </c>
      <c r="H16" s="30" t="n">
        <v>9</v>
      </c>
      <c r="I16" s="33"/>
      <c r="J16" s="34"/>
      <c r="K16" s="35" t="s">
        <v>34</v>
      </c>
      <c r="L16" s="34" t="s">
        <v>33</v>
      </c>
    </row>
    <row r="17" customFormat="false" ht="15" hidden="false" customHeight="false" outlineLevel="0" collapsed="false">
      <c r="A17" s="29" t="n">
        <v>46304</v>
      </c>
      <c r="B17" s="30" t="s">
        <v>21</v>
      </c>
      <c r="C17" s="31" t="s">
        <v>46</v>
      </c>
      <c r="D17" s="30" t="s">
        <v>20</v>
      </c>
      <c r="E17" s="30" t="s">
        <v>38</v>
      </c>
      <c r="F17" s="32" t="n">
        <v>0.333333333333333</v>
      </c>
      <c r="G17" s="32" t="n">
        <v>0.334722222222222</v>
      </c>
      <c r="H17" s="30" t="n">
        <v>3</v>
      </c>
      <c r="I17" s="33" t="s">
        <v>45</v>
      </c>
      <c r="J17" s="34" t="n">
        <v>1</v>
      </c>
      <c r="K17" s="35" t="s">
        <v>47</v>
      </c>
      <c r="L17" s="34" t="s">
        <v>41</v>
      </c>
    </row>
    <row r="18" customFormat="false" ht="15" hidden="false" customHeight="false" outlineLevel="0" collapsed="false">
      <c r="A18" s="29" t="n">
        <v>46304</v>
      </c>
      <c r="B18" s="30" t="s">
        <v>21</v>
      </c>
      <c r="C18" s="31" t="s">
        <v>49</v>
      </c>
      <c r="D18" s="30" t="s">
        <v>20</v>
      </c>
      <c r="E18" s="30" t="s">
        <v>38</v>
      </c>
      <c r="F18" s="32" t="n">
        <v>0.334722222222222</v>
      </c>
      <c r="G18" s="32" t="n">
        <v>0.336111111111111</v>
      </c>
      <c r="H18" s="30" t="n">
        <v>3</v>
      </c>
      <c r="I18" s="33" t="s">
        <v>48</v>
      </c>
      <c r="J18" s="34" t="n">
        <v>1</v>
      </c>
      <c r="K18" s="35" t="s">
        <v>50</v>
      </c>
      <c r="L18" s="34" t="s">
        <v>41</v>
      </c>
    </row>
    <row r="19" customFormat="false" ht="15" hidden="false" customHeight="false" outlineLevel="0" collapsed="false">
      <c r="A19" s="29" t="n">
        <v>46304</v>
      </c>
      <c r="B19" s="30" t="s">
        <v>21</v>
      </c>
      <c r="C19" s="31" t="s">
        <v>53</v>
      </c>
      <c r="D19" s="30" t="s">
        <v>20</v>
      </c>
      <c r="E19" s="30" t="s">
        <v>52</v>
      </c>
      <c r="F19" s="32" t="n">
        <v>0.340277777777778</v>
      </c>
      <c r="G19" s="32" t="n">
        <v>0.344444444444444</v>
      </c>
      <c r="H19" s="30" t="n">
        <v>3</v>
      </c>
      <c r="I19" s="33" t="s">
        <v>51</v>
      </c>
      <c r="J19" s="34" t="n">
        <v>4</v>
      </c>
      <c r="K19" s="35" t="s">
        <v>54</v>
      </c>
      <c r="L19" s="34" t="s">
        <v>41</v>
      </c>
    </row>
    <row r="20" customFormat="false" ht="15" hidden="false" customHeight="false" outlineLevel="0" collapsed="false">
      <c r="A20" s="29" t="n">
        <v>46304</v>
      </c>
      <c r="B20" s="30" t="s">
        <v>21</v>
      </c>
      <c r="C20" s="31" t="s">
        <v>56</v>
      </c>
      <c r="D20" s="30" t="s">
        <v>20</v>
      </c>
      <c r="E20" s="30" t="s">
        <v>38</v>
      </c>
      <c r="F20" s="32" t="n">
        <v>0.75</v>
      </c>
      <c r="G20" s="32" t="n">
        <v>0.751388888888889</v>
      </c>
      <c r="H20" s="30" t="n">
        <v>3</v>
      </c>
      <c r="I20" s="33" t="s">
        <v>55</v>
      </c>
      <c r="J20" s="34" t="n">
        <v>1</v>
      </c>
      <c r="K20" s="35" t="s">
        <v>57</v>
      </c>
      <c r="L20" s="34" t="s">
        <v>41</v>
      </c>
    </row>
    <row r="21" customFormat="false" ht="15" hidden="false" customHeight="false" outlineLevel="0" collapsed="false">
      <c r="A21" s="29" t="n">
        <v>46305</v>
      </c>
      <c r="B21" s="30" t="s">
        <v>21</v>
      </c>
      <c r="C21" s="31" t="s">
        <v>31</v>
      </c>
      <c r="D21" s="30" t="s">
        <v>20</v>
      </c>
      <c r="E21" s="30" t="s">
        <v>30</v>
      </c>
      <c r="F21" s="32" t="n">
        <v>0.3125</v>
      </c>
      <c r="G21" s="32" t="n">
        <v>0.645833333333333</v>
      </c>
      <c r="H21" s="30" t="n">
        <v>10</v>
      </c>
      <c r="I21" s="33"/>
      <c r="J21" s="34"/>
      <c r="K21" s="35" t="s">
        <v>32</v>
      </c>
      <c r="L21" s="34" t="s">
        <v>33</v>
      </c>
    </row>
    <row r="22" customFormat="false" ht="15" hidden="false" customHeight="false" outlineLevel="0" collapsed="false">
      <c r="A22" s="29" t="n">
        <v>46305</v>
      </c>
      <c r="B22" s="30" t="s">
        <v>21</v>
      </c>
      <c r="C22" s="31" t="s">
        <v>31</v>
      </c>
      <c r="D22" s="30" t="s">
        <v>20</v>
      </c>
      <c r="E22" s="30" t="s">
        <v>30</v>
      </c>
      <c r="F22" s="32" t="n">
        <v>0.645833333333333</v>
      </c>
      <c r="G22" s="32" t="n">
        <v>0.8125</v>
      </c>
      <c r="H22" s="30" t="n">
        <v>9</v>
      </c>
      <c r="I22" s="33"/>
      <c r="J22" s="34"/>
      <c r="K22" s="35" t="s">
        <v>34</v>
      </c>
      <c r="L22" s="34" t="s">
        <v>33</v>
      </c>
    </row>
    <row r="23" customFormat="false" ht="15" hidden="false" customHeight="false" outlineLevel="0" collapsed="false">
      <c r="A23" s="29" t="n">
        <v>46305</v>
      </c>
      <c r="B23" s="30" t="s">
        <v>21</v>
      </c>
      <c r="C23" s="31" t="s">
        <v>60</v>
      </c>
      <c r="D23" s="30" t="s">
        <v>20</v>
      </c>
      <c r="E23" s="30" t="s">
        <v>59</v>
      </c>
      <c r="F23" s="32" t="n">
        <v>0.375</v>
      </c>
      <c r="G23" s="32" t="n">
        <v>0.4375</v>
      </c>
      <c r="H23" s="30" t="n">
        <v>2</v>
      </c>
      <c r="I23" s="33" t="s">
        <v>58</v>
      </c>
      <c r="J23" s="34" t="n">
        <v>150</v>
      </c>
      <c r="K23" s="35" t="s">
        <v>61</v>
      </c>
      <c r="L23" s="34" t="s">
        <v>62</v>
      </c>
    </row>
    <row r="24" customFormat="false" ht="15" hidden="false" customHeight="false" outlineLevel="0" collapsed="false">
      <c r="A24" s="36" t="n">
        <v>46306</v>
      </c>
      <c r="B24" s="37" t="s">
        <v>21</v>
      </c>
      <c r="C24" s="38" t="s">
        <v>31</v>
      </c>
      <c r="D24" s="37" t="s">
        <v>20</v>
      </c>
      <c r="E24" s="37" t="s">
        <v>30</v>
      </c>
      <c r="F24" s="39" t="n">
        <v>0.3125</v>
      </c>
      <c r="G24" s="39" t="n">
        <v>0.645833333333333</v>
      </c>
      <c r="H24" s="37" t="n">
        <v>9</v>
      </c>
      <c r="I24" s="33"/>
      <c r="J24" s="34"/>
      <c r="K24" s="35" t="s">
        <v>32</v>
      </c>
      <c r="L24" s="34" t="s">
        <v>33</v>
      </c>
    </row>
    <row r="25" customFormat="false" ht="25.35" hidden="false" customHeight="false" outlineLevel="0" collapsed="false">
      <c r="A25" s="29" t="n">
        <v>46307</v>
      </c>
      <c r="B25" s="30" t="s">
        <v>21</v>
      </c>
      <c r="C25" s="31" t="s">
        <v>63</v>
      </c>
      <c r="D25" s="30" t="s">
        <v>20</v>
      </c>
      <c r="E25" s="30" t="s">
        <v>52</v>
      </c>
      <c r="F25" s="32" t="n">
        <v>0.3125</v>
      </c>
      <c r="G25" s="32" t="n">
        <v>0.625</v>
      </c>
      <c r="H25" s="30" t="n">
        <v>1</v>
      </c>
      <c r="I25" s="33"/>
      <c r="J25" s="34"/>
      <c r="K25" s="35" t="s">
        <v>64</v>
      </c>
      <c r="L25" s="34" t="s">
        <v>65</v>
      </c>
    </row>
    <row r="26" customFormat="false" ht="37.3" hidden="false" customHeight="false" outlineLevel="0" collapsed="false">
      <c r="A26" s="29" t="n">
        <v>46307</v>
      </c>
      <c r="B26" s="30" t="s">
        <v>21</v>
      </c>
      <c r="C26" s="31" t="s">
        <v>63</v>
      </c>
      <c r="D26" s="30" t="s">
        <v>20</v>
      </c>
      <c r="E26" s="30" t="s">
        <v>52</v>
      </c>
      <c r="F26" s="32" t="n">
        <v>0.395833333333333</v>
      </c>
      <c r="G26" s="32" t="n">
        <v>0.833333333333333</v>
      </c>
      <c r="H26" s="30" t="n">
        <v>1</v>
      </c>
      <c r="I26" s="33" t="s">
        <v>66</v>
      </c>
      <c r="J26" s="34" t="n">
        <v>2522</v>
      </c>
      <c r="K26" s="35" t="s">
        <v>64</v>
      </c>
      <c r="L26" s="34" t="s">
        <v>65</v>
      </c>
    </row>
    <row r="27" customFormat="false" ht="15" hidden="false" customHeight="false" outlineLevel="0" collapsed="false">
      <c r="A27" s="29" t="n">
        <v>46307</v>
      </c>
      <c r="B27" s="30" t="s">
        <v>21</v>
      </c>
      <c r="C27" s="31" t="s">
        <v>68</v>
      </c>
      <c r="D27" s="30" t="s">
        <v>67</v>
      </c>
      <c r="E27" s="30" t="s">
        <v>30</v>
      </c>
      <c r="F27" s="32" t="n">
        <v>0.3125</v>
      </c>
      <c r="G27" s="32" t="n">
        <v>0.8125</v>
      </c>
      <c r="H27" s="30" t="n">
        <v>12</v>
      </c>
      <c r="I27" s="33"/>
      <c r="J27" s="34"/>
      <c r="K27" s="35" t="s">
        <v>69</v>
      </c>
      <c r="L27" s="34" t="s">
        <v>70</v>
      </c>
    </row>
    <row r="28" customFormat="false" ht="15" hidden="false" customHeight="false" outlineLevel="0" collapsed="false">
      <c r="A28" s="29" t="n">
        <v>46308</v>
      </c>
      <c r="B28" s="30" t="s">
        <v>21</v>
      </c>
      <c r="C28" s="31" t="s">
        <v>72</v>
      </c>
      <c r="D28" s="30" t="s">
        <v>20</v>
      </c>
      <c r="E28" s="30" t="s">
        <v>59</v>
      </c>
      <c r="F28" s="32" t="n">
        <v>0.645833333333333</v>
      </c>
      <c r="G28" s="32" t="n">
        <v>0.833333333333333</v>
      </c>
      <c r="H28" s="30" t="n">
        <v>1</v>
      </c>
      <c r="I28" s="33" t="s">
        <v>71</v>
      </c>
      <c r="J28" s="34" t="n">
        <v>9</v>
      </c>
      <c r="K28" s="35" t="s">
        <v>73</v>
      </c>
      <c r="L28" s="34" t="s">
        <v>65</v>
      </c>
    </row>
    <row r="29" customFormat="false" ht="15" hidden="false" customHeight="false" outlineLevel="0" collapsed="false">
      <c r="A29" s="29" t="n">
        <v>46308</v>
      </c>
      <c r="B29" s="30" t="s">
        <v>21</v>
      </c>
      <c r="C29" s="31" t="s">
        <v>68</v>
      </c>
      <c r="D29" s="30" t="s">
        <v>67</v>
      </c>
      <c r="E29" s="30" t="s">
        <v>30</v>
      </c>
      <c r="F29" s="32" t="n">
        <v>0.3125</v>
      </c>
      <c r="G29" s="32" t="n">
        <v>0.8125</v>
      </c>
      <c r="H29" s="30" t="n">
        <v>12</v>
      </c>
      <c r="I29" s="33"/>
      <c r="J29" s="34"/>
      <c r="K29" s="35" t="s">
        <v>69</v>
      </c>
      <c r="L29" s="34" t="s">
        <v>70</v>
      </c>
    </row>
    <row r="30" customFormat="false" ht="25.35" hidden="false" customHeight="false" outlineLevel="0" collapsed="false">
      <c r="A30" s="29" t="n">
        <v>46309</v>
      </c>
      <c r="B30" s="30" t="s">
        <v>21</v>
      </c>
      <c r="C30" s="31" t="s">
        <v>77</v>
      </c>
      <c r="D30" s="30" t="s">
        <v>75</v>
      </c>
      <c r="E30" s="30" t="s">
        <v>76</v>
      </c>
      <c r="F30" s="32" t="n">
        <v>0.375</v>
      </c>
      <c r="G30" s="32" t="n">
        <v>0.416666666666667</v>
      </c>
      <c r="H30" s="30" t="n">
        <v>2</v>
      </c>
      <c r="I30" s="33" t="s">
        <v>74</v>
      </c>
      <c r="J30" s="34" t="n">
        <v>100</v>
      </c>
      <c r="K30" s="35" t="s">
        <v>78</v>
      </c>
      <c r="L30" s="34" t="s">
        <v>79</v>
      </c>
    </row>
    <row r="31" customFormat="false" ht="15" hidden="false" customHeight="false" outlineLevel="0" collapsed="false">
      <c r="A31" s="29" t="n">
        <v>46309</v>
      </c>
      <c r="B31" s="30" t="s">
        <v>21</v>
      </c>
      <c r="C31" s="31" t="s">
        <v>68</v>
      </c>
      <c r="D31" s="30" t="s">
        <v>67</v>
      </c>
      <c r="E31" s="30" t="s">
        <v>30</v>
      </c>
      <c r="F31" s="32" t="n">
        <v>0.3125</v>
      </c>
      <c r="G31" s="32" t="n">
        <v>0.8125</v>
      </c>
      <c r="H31" s="30" t="n">
        <v>12</v>
      </c>
      <c r="I31" s="33"/>
      <c r="J31" s="34"/>
      <c r="K31" s="35" t="s">
        <v>69</v>
      </c>
      <c r="L31" s="34" t="s">
        <v>70</v>
      </c>
    </row>
    <row r="32" customFormat="false" ht="15" hidden="false" customHeight="false" outlineLevel="0" collapsed="false">
      <c r="A32" s="29" t="n">
        <v>46310</v>
      </c>
      <c r="B32" s="30" t="s">
        <v>21</v>
      </c>
      <c r="C32" s="31" t="s">
        <v>60</v>
      </c>
      <c r="D32" s="30" t="s">
        <v>20</v>
      </c>
      <c r="E32" s="30" t="s">
        <v>76</v>
      </c>
      <c r="F32" s="32" t="n">
        <v>0.333333333333333</v>
      </c>
      <c r="G32" s="32" t="n">
        <v>0.347222222222222</v>
      </c>
      <c r="H32" s="30" t="n">
        <v>1</v>
      </c>
      <c r="I32" s="33" t="s">
        <v>80</v>
      </c>
      <c r="J32" s="34" t="n">
        <v>4</v>
      </c>
      <c r="K32" s="35" t="s">
        <v>80</v>
      </c>
      <c r="L32" s="34" t="s">
        <v>62</v>
      </c>
    </row>
    <row r="33" customFormat="false" ht="15" hidden="false" customHeight="false" outlineLevel="0" collapsed="false">
      <c r="A33" s="29" t="n">
        <v>46310</v>
      </c>
      <c r="B33" s="30" t="s">
        <v>21</v>
      </c>
      <c r="C33" s="31" t="s">
        <v>68</v>
      </c>
      <c r="D33" s="30" t="s">
        <v>67</v>
      </c>
      <c r="E33" s="30" t="s">
        <v>30</v>
      </c>
      <c r="F33" s="32" t="n">
        <v>0.3125</v>
      </c>
      <c r="G33" s="32" t="n">
        <v>0.8125</v>
      </c>
      <c r="H33" s="30" t="n">
        <v>12</v>
      </c>
      <c r="I33" s="33"/>
      <c r="J33" s="34"/>
      <c r="K33" s="35" t="s">
        <v>69</v>
      </c>
      <c r="L33" s="34" t="s">
        <v>70</v>
      </c>
    </row>
    <row r="34" customFormat="false" ht="15" hidden="false" customHeight="false" outlineLevel="0" collapsed="false">
      <c r="A34" s="40" t="n">
        <v>46310</v>
      </c>
      <c r="B34" s="41" t="s">
        <v>21</v>
      </c>
      <c r="C34" s="42" t="s">
        <v>83</v>
      </c>
      <c r="D34" s="41" t="s">
        <v>67</v>
      </c>
      <c r="E34" s="41" t="s">
        <v>82</v>
      </c>
      <c r="F34" s="43" t="n">
        <v>0.291666666666667</v>
      </c>
      <c r="G34" s="43" t="n">
        <v>0.625</v>
      </c>
      <c r="H34" s="41" t="n">
        <v>4</v>
      </c>
      <c r="I34" s="33" t="s">
        <v>81</v>
      </c>
      <c r="J34" s="34" t="n">
        <v>734</v>
      </c>
      <c r="K34" s="35" t="s">
        <v>84</v>
      </c>
      <c r="L34" s="34" t="s">
        <v>85</v>
      </c>
    </row>
    <row r="35" customFormat="false" ht="15" hidden="false" customHeight="false" outlineLevel="0" collapsed="false">
      <c r="A35" s="36" t="n">
        <v>46311</v>
      </c>
      <c r="B35" s="37" t="s">
        <v>21</v>
      </c>
      <c r="C35" s="38" t="s">
        <v>88</v>
      </c>
      <c r="D35" s="37" t="s">
        <v>20</v>
      </c>
      <c r="E35" s="37" t="s">
        <v>87</v>
      </c>
      <c r="F35" s="39" t="n">
        <v>0.333333333333333</v>
      </c>
      <c r="G35" s="39" t="n">
        <v>0.336805555555556</v>
      </c>
      <c r="H35" s="37" t="n">
        <v>3</v>
      </c>
      <c r="I35" s="33" t="s">
        <v>86</v>
      </c>
      <c r="J35" s="34" t="n">
        <v>14</v>
      </c>
      <c r="K35" s="35" t="s">
        <v>89</v>
      </c>
      <c r="L35" s="34" t="s">
        <v>41</v>
      </c>
    </row>
    <row r="36" customFormat="false" ht="15" hidden="false" customHeight="false" outlineLevel="0" collapsed="false">
      <c r="A36" s="36" t="n">
        <v>46311</v>
      </c>
      <c r="B36" s="37" t="s">
        <v>21</v>
      </c>
      <c r="C36" s="38" t="s">
        <v>88</v>
      </c>
      <c r="D36" s="37" t="s">
        <v>20</v>
      </c>
      <c r="E36" s="37" t="s">
        <v>87</v>
      </c>
      <c r="F36" s="39" t="n">
        <v>0.336805555555556</v>
      </c>
      <c r="G36" s="39" t="n">
        <v>0.34375</v>
      </c>
      <c r="H36" s="37" t="n">
        <v>3</v>
      </c>
      <c r="I36" s="33" t="s">
        <v>90</v>
      </c>
      <c r="J36" s="34" t="n">
        <v>30</v>
      </c>
      <c r="K36" s="35" t="s">
        <v>89</v>
      </c>
      <c r="L36" s="34" t="s">
        <v>41</v>
      </c>
    </row>
    <row r="37" customFormat="false" ht="15" hidden="false" customHeight="false" outlineLevel="0" collapsed="false">
      <c r="A37" s="29" t="n">
        <v>46311</v>
      </c>
      <c r="B37" s="30" t="s">
        <v>21</v>
      </c>
      <c r="C37" s="31" t="s">
        <v>68</v>
      </c>
      <c r="D37" s="30" t="s">
        <v>67</v>
      </c>
      <c r="E37" s="30" t="s">
        <v>30</v>
      </c>
      <c r="F37" s="32" t="n">
        <v>0.3125</v>
      </c>
      <c r="G37" s="32" t="n">
        <v>0.8125</v>
      </c>
      <c r="H37" s="30" t="n">
        <v>12</v>
      </c>
      <c r="I37" s="33"/>
      <c r="J37" s="34"/>
      <c r="K37" s="35" t="s">
        <v>69</v>
      </c>
      <c r="L37" s="34" t="s">
        <v>70</v>
      </c>
    </row>
    <row r="38" customFormat="false" ht="15" hidden="false" customHeight="false" outlineLevel="0" collapsed="false">
      <c r="A38" s="29" t="n">
        <v>46311</v>
      </c>
      <c r="B38" s="30" t="s">
        <v>21</v>
      </c>
      <c r="C38" s="31" t="s">
        <v>92</v>
      </c>
      <c r="D38" s="30" t="s">
        <v>67</v>
      </c>
      <c r="E38" s="30" t="s">
        <v>38</v>
      </c>
      <c r="F38" s="32" t="n">
        <v>0.333333333333333</v>
      </c>
      <c r="G38" s="32" t="n">
        <v>0.5</v>
      </c>
      <c r="H38" s="30" t="n">
        <v>1</v>
      </c>
      <c r="I38" s="33" t="s">
        <v>91</v>
      </c>
      <c r="J38" s="34"/>
      <c r="K38" s="35" t="s">
        <v>93</v>
      </c>
      <c r="L38" s="34" t="s">
        <v>94</v>
      </c>
    </row>
    <row r="39" customFormat="false" ht="15" hidden="false" customHeight="false" outlineLevel="0" collapsed="false">
      <c r="A39" s="40" t="n">
        <v>46311</v>
      </c>
      <c r="B39" s="41" t="s">
        <v>21</v>
      </c>
      <c r="C39" s="42" t="s">
        <v>92</v>
      </c>
      <c r="D39" s="41" t="s">
        <v>67</v>
      </c>
      <c r="E39" s="41" t="s">
        <v>38</v>
      </c>
      <c r="F39" s="43" t="n">
        <v>0.625</v>
      </c>
      <c r="G39" s="43" t="n">
        <v>0.833333333333333</v>
      </c>
      <c r="H39" s="41" t="n">
        <v>1</v>
      </c>
      <c r="I39" s="33" t="s">
        <v>95</v>
      </c>
      <c r="J39" s="34"/>
      <c r="K39" s="35" t="s">
        <v>96</v>
      </c>
      <c r="L39" s="34" t="s">
        <v>94</v>
      </c>
    </row>
    <row r="40" customFormat="false" ht="15" hidden="false" customHeight="false" outlineLevel="0" collapsed="false">
      <c r="A40" s="29" t="n">
        <v>46312</v>
      </c>
      <c r="B40" s="30" t="s">
        <v>21</v>
      </c>
      <c r="C40" s="31" t="s">
        <v>56</v>
      </c>
      <c r="D40" s="30" t="s">
        <v>20</v>
      </c>
      <c r="E40" s="30" t="s">
        <v>38</v>
      </c>
      <c r="F40" s="32" t="n">
        <v>0.541666666666667</v>
      </c>
      <c r="G40" s="32" t="n">
        <v>0.544444444444444</v>
      </c>
      <c r="H40" s="30" t="n">
        <v>3</v>
      </c>
      <c r="I40" s="33" t="s">
        <v>97</v>
      </c>
      <c r="J40" s="34" t="n">
        <v>4</v>
      </c>
      <c r="K40" s="35" t="s">
        <v>98</v>
      </c>
      <c r="L40" s="34" t="s">
        <v>41</v>
      </c>
    </row>
    <row r="41" customFormat="false" ht="25.35" hidden="false" customHeight="false" outlineLevel="0" collapsed="false">
      <c r="A41" s="40" t="n">
        <v>46312</v>
      </c>
      <c r="B41" s="41" t="s">
        <v>21</v>
      </c>
      <c r="C41" s="42" t="s">
        <v>68</v>
      </c>
      <c r="D41" s="41" t="s">
        <v>67</v>
      </c>
      <c r="E41" s="41" t="s">
        <v>30</v>
      </c>
      <c r="F41" s="43" t="n">
        <v>0.3125</v>
      </c>
      <c r="G41" s="43" t="n">
        <v>0.645833333333333</v>
      </c>
      <c r="H41" s="41" t="n">
        <v>12</v>
      </c>
      <c r="I41" s="33"/>
      <c r="J41" s="34"/>
      <c r="K41" s="35" t="s">
        <v>99</v>
      </c>
      <c r="L41" s="34" t="s">
        <v>70</v>
      </c>
    </row>
    <row r="42" customFormat="false" ht="15" hidden="false" customHeight="false" outlineLevel="0" collapsed="false">
      <c r="A42" s="29" t="n">
        <v>46314</v>
      </c>
      <c r="B42" s="30" t="s">
        <v>21</v>
      </c>
      <c r="C42" s="31" t="s">
        <v>101</v>
      </c>
      <c r="D42" s="30" t="s">
        <v>20</v>
      </c>
      <c r="E42" s="30" t="s">
        <v>38</v>
      </c>
      <c r="F42" s="32" t="n">
        <v>0.75</v>
      </c>
      <c r="G42" s="32" t="n">
        <v>0.751388888888889</v>
      </c>
      <c r="H42" s="30" t="n">
        <v>3</v>
      </c>
      <c r="I42" s="33" t="s">
        <v>100</v>
      </c>
      <c r="J42" s="34" t="n">
        <v>1</v>
      </c>
      <c r="K42" s="35" t="s">
        <v>102</v>
      </c>
      <c r="L42" s="34" t="s">
        <v>41</v>
      </c>
    </row>
    <row r="43" customFormat="false" ht="15" hidden="false" customHeight="false" outlineLevel="0" collapsed="false">
      <c r="A43" s="29" t="n">
        <v>46314</v>
      </c>
      <c r="B43" s="30" t="s">
        <v>21</v>
      </c>
      <c r="C43" s="31" t="s">
        <v>103</v>
      </c>
      <c r="D43" s="30" t="s">
        <v>20</v>
      </c>
      <c r="E43" s="30" t="s">
        <v>38</v>
      </c>
      <c r="F43" s="32" t="n">
        <v>0.751388888888889</v>
      </c>
      <c r="G43" s="32" t="n">
        <v>0.752777777777778</v>
      </c>
      <c r="H43" s="30" t="n">
        <v>3</v>
      </c>
      <c r="I43" s="33" t="s">
        <v>100</v>
      </c>
      <c r="J43" s="34" t="n">
        <v>1</v>
      </c>
      <c r="K43" s="35" t="s">
        <v>104</v>
      </c>
      <c r="L43" s="34" t="s">
        <v>41</v>
      </c>
    </row>
    <row r="44" customFormat="false" ht="15" hidden="false" customHeight="false" outlineLevel="0" collapsed="false">
      <c r="A44" s="29" t="n">
        <v>46314</v>
      </c>
      <c r="B44" s="30" t="s">
        <v>21</v>
      </c>
      <c r="C44" s="31" t="s">
        <v>56</v>
      </c>
      <c r="D44" s="30" t="s">
        <v>20</v>
      </c>
      <c r="E44" s="30" t="s">
        <v>38</v>
      </c>
      <c r="F44" s="32" t="n">
        <v>0.752777777777778</v>
      </c>
      <c r="G44" s="32" t="n">
        <v>0.754861111111111</v>
      </c>
      <c r="H44" s="30" t="n">
        <v>3</v>
      </c>
      <c r="I44" s="33" t="s">
        <v>97</v>
      </c>
      <c r="J44" s="34" t="n">
        <v>3</v>
      </c>
      <c r="K44" s="35" t="s">
        <v>105</v>
      </c>
      <c r="L44" s="34" t="s">
        <v>41</v>
      </c>
    </row>
    <row r="45" customFormat="false" ht="15" hidden="false" customHeight="false" outlineLevel="0" collapsed="false">
      <c r="A45" s="36" t="n">
        <v>46315</v>
      </c>
      <c r="B45" s="37" t="s">
        <v>21</v>
      </c>
      <c r="C45" s="38" t="s">
        <v>107</v>
      </c>
      <c r="D45" s="37" t="s">
        <v>20</v>
      </c>
      <c r="E45" s="37" t="s">
        <v>87</v>
      </c>
      <c r="F45" s="39" t="n">
        <v>0.756944444444444</v>
      </c>
      <c r="G45" s="39" t="n">
        <v>0.760416666666667</v>
      </c>
      <c r="H45" s="37" t="n">
        <v>3</v>
      </c>
      <c r="I45" s="33" t="s">
        <v>106</v>
      </c>
      <c r="J45" s="34" t="n">
        <v>10</v>
      </c>
      <c r="K45" s="35" t="s">
        <v>89</v>
      </c>
      <c r="L45" s="34" t="s">
        <v>41</v>
      </c>
    </row>
    <row r="46" customFormat="false" ht="15" hidden="false" customHeight="false" outlineLevel="0" collapsed="false">
      <c r="A46" s="36" t="n">
        <v>46315</v>
      </c>
      <c r="B46" s="37" t="s">
        <v>21</v>
      </c>
      <c r="C46" s="38" t="s">
        <v>107</v>
      </c>
      <c r="D46" s="37" t="s">
        <v>20</v>
      </c>
      <c r="E46" s="37" t="s">
        <v>87</v>
      </c>
      <c r="F46" s="39" t="n">
        <v>0.760416666666667</v>
      </c>
      <c r="G46" s="39" t="n">
        <v>0.7625</v>
      </c>
      <c r="H46" s="37" t="n">
        <v>3</v>
      </c>
      <c r="I46" s="33" t="s">
        <v>108</v>
      </c>
      <c r="J46" s="34" t="n">
        <v>5</v>
      </c>
      <c r="K46" s="35" t="s">
        <v>89</v>
      </c>
      <c r="L46" s="34" t="s">
        <v>41</v>
      </c>
    </row>
    <row r="47" customFormat="false" ht="15" hidden="false" customHeight="false" outlineLevel="0" collapsed="false">
      <c r="A47" s="29" t="n">
        <v>46315</v>
      </c>
      <c r="B47" s="30" t="s">
        <v>21</v>
      </c>
      <c r="C47" s="31" t="s">
        <v>60</v>
      </c>
      <c r="D47" s="30" t="s">
        <v>20</v>
      </c>
      <c r="E47" s="30" t="s">
        <v>59</v>
      </c>
      <c r="F47" s="32" t="n">
        <v>0.375</v>
      </c>
      <c r="G47" s="32" t="n">
        <v>0.409722222222222</v>
      </c>
      <c r="H47" s="30" t="n">
        <v>1</v>
      </c>
      <c r="I47" s="33" t="s">
        <v>109</v>
      </c>
      <c r="J47" s="34" t="n">
        <v>30</v>
      </c>
      <c r="K47" s="35" t="s">
        <v>109</v>
      </c>
      <c r="L47" s="34" t="s">
        <v>62</v>
      </c>
    </row>
    <row r="48" customFormat="false" ht="15" hidden="false" customHeight="false" outlineLevel="0" collapsed="false">
      <c r="A48" s="36" t="n">
        <v>46315</v>
      </c>
      <c r="B48" s="37" t="s">
        <v>21</v>
      </c>
      <c r="C48" s="38" t="s">
        <v>112</v>
      </c>
      <c r="D48" s="37" t="s">
        <v>20</v>
      </c>
      <c r="E48" s="37" t="s">
        <v>111</v>
      </c>
      <c r="F48" s="39" t="n">
        <v>0.416666666666667</v>
      </c>
      <c r="G48" s="39" t="n">
        <v>0.46875</v>
      </c>
      <c r="H48" s="37" t="n">
        <v>2</v>
      </c>
      <c r="I48" s="33" t="s">
        <v>110</v>
      </c>
      <c r="J48" s="34" t="n">
        <v>2</v>
      </c>
      <c r="K48" s="35" t="s">
        <v>113</v>
      </c>
      <c r="L48" s="34" t="s">
        <v>62</v>
      </c>
    </row>
    <row r="49" customFormat="false" ht="15" hidden="false" customHeight="false" outlineLevel="0" collapsed="false">
      <c r="A49" s="29" t="n">
        <v>46315</v>
      </c>
      <c r="B49" s="30" t="s">
        <v>21</v>
      </c>
      <c r="C49" s="31" t="s">
        <v>60</v>
      </c>
      <c r="D49" s="30" t="s">
        <v>20</v>
      </c>
      <c r="E49" s="30" t="s">
        <v>76</v>
      </c>
      <c r="F49" s="32" t="n">
        <v>0.416666666666667</v>
      </c>
      <c r="G49" s="32" t="n">
        <v>0.444444444444444</v>
      </c>
      <c r="H49" s="30" t="n">
        <v>1</v>
      </c>
      <c r="I49" s="33" t="s">
        <v>114</v>
      </c>
      <c r="J49" s="34" t="n">
        <v>30</v>
      </c>
      <c r="K49" s="35" t="s">
        <v>114</v>
      </c>
      <c r="L49" s="34" t="s">
        <v>62</v>
      </c>
    </row>
    <row r="50" customFormat="false" ht="15" hidden="false" customHeight="false" outlineLevel="0" collapsed="false">
      <c r="A50" s="29" t="n">
        <v>46317</v>
      </c>
      <c r="B50" s="30" t="s">
        <v>21</v>
      </c>
      <c r="C50" s="31" t="s">
        <v>49</v>
      </c>
      <c r="D50" s="30" t="s">
        <v>20</v>
      </c>
      <c r="E50" s="30" t="s">
        <v>30</v>
      </c>
      <c r="F50" s="32" t="n">
        <v>0.333333333333333</v>
      </c>
      <c r="G50" s="32" t="n">
        <v>0.334722222222222</v>
      </c>
      <c r="H50" s="30" t="n">
        <v>3</v>
      </c>
      <c r="I50" s="33" t="s">
        <v>115</v>
      </c>
      <c r="J50" s="34" t="n">
        <v>1</v>
      </c>
      <c r="K50" s="35" t="s">
        <v>116</v>
      </c>
      <c r="L50" s="34" t="s">
        <v>41</v>
      </c>
    </row>
    <row r="51" customFormat="false" ht="15" hidden="false" customHeight="false" outlineLevel="0" collapsed="false">
      <c r="A51" s="29" t="n">
        <v>46317</v>
      </c>
      <c r="B51" s="30" t="s">
        <v>21</v>
      </c>
      <c r="C51" s="31" t="s">
        <v>49</v>
      </c>
      <c r="D51" s="30" t="s">
        <v>20</v>
      </c>
      <c r="E51" s="30" t="s">
        <v>59</v>
      </c>
      <c r="F51" s="32" t="n">
        <v>0.375</v>
      </c>
      <c r="G51" s="32" t="n">
        <v>0.416666666666667</v>
      </c>
      <c r="H51" s="30" t="n">
        <v>3</v>
      </c>
      <c r="I51" s="33" t="s">
        <v>117</v>
      </c>
      <c r="J51" s="34" t="n">
        <v>20</v>
      </c>
      <c r="K51" s="35" t="s">
        <v>118</v>
      </c>
      <c r="L51" s="34" t="s">
        <v>41</v>
      </c>
    </row>
    <row r="52" customFormat="false" ht="25.35" hidden="false" customHeight="false" outlineLevel="0" collapsed="false">
      <c r="A52" s="40" t="n">
        <v>46318</v>
      </c>
      <c r="B52" s="41" t="s">
        <v>21</v>
      </c>
      <c r="C52" s="42" t="s">
        <v>120</v>
      </c>
      <c r="D52" s="41" t="s">
        <v>75</v>
      </c>
      <c r="E52" s="41" t="s">
        <v>76</v>
      </c>
      <c r="F52" s="43" t="n">
        <v>0.397222222222222</v>
      </c>
      <c r="G52" s="43" t="n">
        <v>0.472222222222222</v>
      </c>
      <c r="H52" s="41" t="n">
        <v>2</v>
      </c>
      <c r="I52" s="33" t="s">
        <v>119</v>
      </c>
      <c r="J52" s="34" t="n">
        <v>65</v>
      </c>
      <c r="K52" s="35" t="s">
        <v>121</v>
      </c>
      <c r="L52" s="34" t="s">
        <v>79</v>
      </c>
    </row>
    <row r="53" customFormat="false" ht="15" hidden="false" customHeight="false" outlineLevel="0" collapsed="false">
      <c r="A53" s="36" t="n">
        <v>46319</v>
      </c>
      <c r="B53" s="37" t="s">
        <v>21</v>
      </c>
      <c r="C53" s="38" t="s">
        <v>123</v>
      </c>
      <c r="D53" s="37" t="s">
        <v>20</v>
      </c>
      <c r="E53" s="37" t="s">
        <v>87</v>
      </c>
      <c r="F53" s="39" t="n">
        <v>0.416666666666667</v>
      </c>
      <c r="G53" s="39" t="n">
        <v>0.420833333333333</v>
      </c>
      <c r="H53" s="37" t="n">
        <v>3</v>
      </c>
      <c r="I53" s="33" t="s">
        <v>122</v>
      </c>
      <c r="J53" s="34" t="n">
        <v>50</v>
      </c>
      <c r="K53" s="35" t="s">
        <v>89</v>
      </c>
      <c r="L53" s="34" t="s">
        <v>41</v>
      </c>
    </row>
    <row r="54" customFormat="false" ht="15" hidden="false" customHeight="false" outlineLevel="0" collapsed="false">
      <c r="A54" s="29" t="n">
        <v>46319</v>
      </c>
      <c r="B54" s="30" t="s">
        <v>21</v>
      </c>
      <c r="C54" s="31" t="s">
        <v>125</v>
      </c>
      <c r="D54" s="30" t="s">
        <v>20</v>
      </c>
      <c r="E54" s="30" t="s">
        <v>76</v>
      </c>
      <c r="F54" s="32" t="n">
        <v>0.333333333333333</v>
      </c>
      <c r="G54" s="32" t="n">
        <v>0.395833333333333</v>
      </c>
      <c r="H54" s="30" t="n">
        <v>2</v>
      </c>
      <c r="I54" s="33" t="s">
        <v>124</v>
      </c>
      <c r="J54" s="34"/>
      <c r="K54" s="35" t="s">
        <v>126</v>
      </c>
      <c r="L54" s="34" t="s">
        <v>62</v>
      </c>
    </row>
    <row r="55" customFormat="false" ht="25.35" hidden="false" customHeight="false" outlineLevel="0" collapsed="false">
      <c r="A55" s="40" t="n">
        <v>46319</v>
      </c>
      <c r="B55" s="41" t="s">
        <v>21</v>
      </c>
      <c r="C55" s="42" t="s">
        <v>128</v>
      </c>
      <c r="D55" s="41" t="s">
        <v>20</v>
      </c>
      <c r="E55" s="41" t="s">
        <v>76</v>
      </c>
      <c r="F55" s="43" t="n">
        <v>0.333333333333333</v>
      </c>
      <c r="G55" s="43" t="n">
        <v>0.833333333333333</v>
      </c>
      <c r="H55" s="41" t="n">
        <v>4</v>
      </c>
      <c r="I55" s="33" t="s">
        <v>127</v>
      </c>
      <c r="J55" s="34" t="n">
        <v>30</v>
      </c>
      <c r="K55" s="35" t="s">
        <v>129</v>
      </c>
      <c r="L55" s="34" t="s">
        <v>62</v>
      </c>
    </row>
    <row r="57" customFormat="false" ht="15" hidden="false" customHeight="false" outlineLevel="0" collapsed="false">
      <c r="A57" s="20" t="s">
        <v>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6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21" t="s">
        <v>160</v>
      </c>
    </row>
    <row r="3" customFormat="false" ht="36" hidden="false" customHeight="true" outlineLevel="0" collapsed="false">
      <c r="A3" s="2" t="s">
        <v>18</v>
      </c>
      <c r="B3" s="2" t="s">
        <v>161</v>
      </c>
      <c r="C3" s="2" t="s">
        <v>162</v>
      </c>
      <c r="D3" s="2" t="s">
        <v>163</v>
      </c>
      <c r="E3" s="2" t="s">
        <v>164</v>
      </c>
    </row>
    <row r="4" customFormat="false" ht="15" hidden="false" customHeight="false" outlineLevel="0" collapsed="false">
      <c r="A4" s="44" t="s">
        <v>41</v>
      </c>
      <c r="B4" s="45" t="n">
        <v>5.9</v>
      </c>
      <c r="C4" s="46" t="n">
        <f aca="false">SUMIFS('S32 5-10 đến 24-10'!$Q$3:$Q$56,'S32 5-10 đến 24-10'!$R$3:$R$56,A4)</f>
        <v>5.9</v>
      </c>
      <c r="D4" s="46" t="n">
        <f aca="false">C4-B4</f>
        <v>0</v>
      </c>
      <c r="E4" s="3" t="str">
        <f aca="false">IF(ABS(D4)&lt;0.01,"Khớp","Lệch")</f>
        <v>Khớp</v>
      </c>
    </row>
    <row r="5" customFormat="false" ht="15" hidden="false" customHeight="false" outlineLevel="0" collapsed="false">
      <c r="A5" s="44" t="s">
        <v>33</v>
      </c>
      <c r="B5" s="45" t="n">
        <v>776</v>
      </c>
      <c r="C5" s="46" t="n">
        <f aca="false">SUMIFS('S32 5-10 đến 24-10'!$Q$3:$Q$56,'S32 5-10 đến 24-10'!$R$3:$R$56,A5)</f>
        <v>776</v>
      </c>
      <c r="D5" s="46" t="n">
        <f aca="false">C5-B5</f>
        <v>0</v>
      </c>
      <c r="E5" s="3" t="str">
        <f aca="false">IF(ABS(D5)&lt;0.01,"Khớp","Lệch")</f>
        <v>Khớp</v>
      </c>
    </row>
    <row r="6" customFormat="false" ht="15" hidden="false" customHeight="false" outlineLevel="0" collapsed="false">
      <c r="A6" s="44" t="s">
        <v>65</v>
      </c>
      <c r="B6" s="45" t="n">
        <v>22.5</v>
      </c>
      <c r="C6" s="46" t="n">
        <f aca="false">SUMIFS('S32 5-10 đến 24-10'!$Q$3:$Q$56,'S32 5-10 đến 24-10'!$R$3:$R$56,A6)</f>
        <v>22.5</v>
      </c>
      <c r="D6" s="46" t="n">
        <f aca="false">C6-B6</f>
        <v>0</v>
      </c>
      <c r="E6" s="3" t="str">
        <f aca="false">IF(ABS(D6)&lt;0.01,"Khớp","Lệch")</f>
        <v>Khớp</v>
      </c>
    </row>
    <row r="7" customFormat="false" ht="15" hidden="false" customHeight="false" outlineLevel="0" collapsed="false">
      <c r="A7" s="44" t="s">
        <v>26</v>
      </c>
      <c r="B7" s="45" t="n">
        <v>101</v>
      </c>
      <c r="C7" s="46" t="n">
        <f aca="false">SUMIFS('S32 5-10 đến 24-10'!$Q$3:$Q$56,'S32 5-10 đến 24-10'!$R$3:$R$56,A7)</f>
        <v>101</v>
      </c>
      <c r="D7" s="46" t="n">
        <f aca="false">C7-B7</f>
        <v>0</v>
      </c>
      <c r="E7" s="3" t="str">
        <f aca="false">IF(ABS(D7)&lt;0.01,"Khớp","Lệch")</f>
        <v>Khớp</v>
      </c>
    </row>
    <row r="8" customFormat="false" ht="15" hidden="false" customHeight="false" outlineLevel="0" collapsed="false">
      <c r="A8" s="44" t="s">
        <v>62</v>
      </c>
      <c r="B8" s="45" t="n">
        <v>58.3333</v>
      </c>
      <c r="C8" s="46" t="n">
        <f aca="false">SUMIFS('S32 5-10 đến 24-10'!$Q$3:$Q$56,'S32 5-10 đến 24-10'!$R$3:$R$56,A8)</f>
        <v>58.3333333333333</v>
      </c>
      <c r="D8" s="46" t="n">
        <f aca="false">C8-B8</f>
        <v>3.33333333344399E-005</v>
      </c>
      <c r="E8" s="3" t="str">
        <f aca="false">IF(ABS(D8)&lt;0.01,"Khớp","Lệch")</f>
        <v>Khớp</v>
      </c>
    </row>
    <row r="9" customFormat="false" ht="15" hidden="false" customHeight="false" outlineLevel="0" collapsed="false">
      <c r="A9" s="44" t="s">
        <v>79</v>
      </c>
      <c r="B9" s="45" t="n">
        <v>5.8333</v>
      </c>
      <c r="C9" s="46" t="n">
        <f aca="false">SUMIFS('S32 5-10 đến 24-10'!$Q$3:$Q$56,'S32 5-10 đến 24-10'!$R$3:$R$56,A9)</f>
        <v>5.6</v>
      </c>
      <c r="D9" s="46" t="n">
        <f aca="false">C9-B9</f>
        <v>-0.233300000000001</v>
      </c>
      <c r="E9" s="3" t="str">
        <f aca="false">IF(ABS(D9)&lt;0.01,"Khớp","Lệch")</f>
        <v>Lệch</v>
      </c>
    </row>
    <row r="10" customFormat="false" ht="15" hidden="false" customHeight="false" outlineLevel="0" collapsed="false">
      <c r="A10" s="44" t="s">
        <v>70</v>
      </c>
      <c r="B10" s="45" t="n">
        <v>816</v>
      </c>
      <c r="C10" s="46" t="n">
        <f aca="false">SUMIFS('S32 5-10 đến 24-10'!$Q$3:$Q$56,'S32 5-10 đến 24-10'!$R$3:$R$56,A10)</f>
        <v>816</v>
      </c>
      <c r="D10" s="46" t="n">
        <f aca="false">C10-B10</f>
        <v>0</v>
      </c>
      <c r="E10" s="3" t="str">
        <f aca="false">IF(ABS(D10)&lt;0.01,"Khớp","Lệch")</f>
        <v>Khớp</v>
      </c>
    </row>
    <row r="11" customFormat="false" ht="15" hidden="false" customHeight="false" outlineLevel="0" collapsed="false">
      <c r="A11" s="44" t="s">
        <v>94</v>
      </c>
      <c r="B11" s="45" t="n">
        <v>9</v>
      </c>
      <c r="C11" s="46" t="n">
        <f aca="false">SUMIFS('S32 5-10 đến 24-10'!$Q$3:$Q$56,'S32 5-10 đến 24-10'!$R$3:$R$56,A11)</f>
        <v>9</v>
      </c>
      <c r="D11" s="46" t="n">
        <f aca="false">C11-B11</f>
        <v>0</v>
      </c>
      <c r="E11" s="3" t="str">
        <f aca="false">IF(ABS(D11)&lt;0.01,"Khớp","Lệch")</f>
        <v>Khớp</v>
      </c>
    </row>
    <row r="12" customFormat="false" ht="15" hidden="false" customHeight="false" outlineLevel="0" collapsed="false">
      <c r="A12" s="44" t="s">
        <v>85</v>
      </c>
      <c r="B12" s="45" t="n">
        <v>32</v>
      </c>
      <c r="C12" s="46" t="n">
        <f aca="false">SUMIFS('S32 5-10 đến 24-10'!$Q$3:$Q$56,'S32 5-10 đến 24-10'!$R$3:$R$56,A12)</f>
        <v>32</v>
      </c>
      <c r="D12" s="46" t="n">
        <f aca="false">C12-B12</f>
        <v>0</v>
      </c>
      <c r="E12" s="3" t="str">
        <f aca="false">IF(ABS(D12)&lt;0.01,"Khớp","Lệch")</f>
        <v>Khớp</v>
      </c>
    </row>
    <row r="13" customFormat="false" ht="15" hidden="false" customHeight="false" outlineLevel="0" collapsed="false">
      <c r="A13" s="47" t="s">
        <v>130</v>
      </c>
      <c r="B13" s="48" t="n">
        <f aca="false">SUM(B4:B12)</f>
        <v>1826.5666</v>
      </c>
      <c r="C13" s="48" t="n">
        <f aca="false">SUM(C4:C12)</f>
        <v>1826.33333333333</v>
      </c>
      <c r="D13" s="48" t="n">
        <f aca="false">SUM(D4:D12)</f>
        <v>-0.233266666666666</v>
      </c>
      <c r="E13" s="25" t="str">
        <f aca="false">IF(ABS(D13)&lt;0.01,"Khớp","Lệch")</f>
        <v>Lệch</v>
      </c>
    </row>
    <row r="15" customFormat="false" ht="15" hidden="false" customHeight="false" outlineLevel="0" collapsed="false">
      <c r="A15" s="20" t="s">
        <v>165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2" t="s">
        <v>133</v>
      </c>
      <c r="B1" s="2" t="s">
        <v>18</v>
      </c>
      <c r="C1" s="2" t="s">
        <v>166</v>
      </c>
      <c r="D1" s="2" t="s">
        <v>167</v>
      </c>
      <c r="E1" s="2" t="s">
        <v>168</v>
      </c>
    </row>
    <row r="2" customFormat="false" ht="15" hidden="false" customHeight="false" outlineLevel="0" collapsed="false">
      <c r="A2" s="49" t="n">
        <v>46300</v>
      </c>
      <c r="B2" s="26" t="s">
        <v>26</v>
      </c>
      <c r="C2" s="26" t="s">
        <v>169</v>
      </c>
      <c r="D2" s="26" t="s">
        <v>170</v>
      </c>
      <c r="E2" s="26" t="n">
        <v>10</v>
      </c>
    </row>
    <row r="3" customFormat="false" ht="15" hidden="false" customHeight="false" outlineLevel="0" collapsed="false">
      <c r="A3" s="49" t="n">
        <v>46300</v>
      </c>
      <c r="B3" s="26" t="s">
        <v>26</v>
      </c>
      <c r="C3" s="26" t="s">
        <v>171</v>
      </c>
      <c r="D3" s="26" t="s">
        <v>170</v>
      </c>
      <c r="E3" s="26" t="n">
        <v>5</v>
      </c>
    </row>
    <row r="4" customFormat="false" ht="15" hidden="false" customHeight="false" outlineLevel="0" collapsed="false">
      <c r="A4" s="49" t="n">
        <v>46300</v>
      </c>
      <c r="B4" s="26" t="s">
        <v>26</v>
      </c>
      <c r="C4" s="26" t="s">
        <v>172</v>
      </c>
      <c r="D4" s="26" t="s">
        <v>170</v>
      </c>
      <c r="E4" s="26" t="n">
        <v>10</v>
      </c>
    </row>
    <row r="5" customFormat="false" ht="15" hidden="false" customHeight="false" outlineLevel="0" collapsed="false">
      <c r="A5" s="49" t="n">
        <v>46300</v>
      </c>
      <c r="B5" s="26" t="s">
        <v>26</v>
      </c>
      <c r="C5" s="26" t="s">
        <v>173</v>
      </c>
      <c r="D5" s="26" t="s">
        <v>174</v>
      </c>
      <c r="E5" s="26" t="n">
        <v>27</v>
      </c>
    </row>
    <row r="6" customFormat="false" ht="15" hidden="false" customHeight="false" outlineLevel="0" collapsed="false">
      <c r="A6" s="49" t="n">
        <v>46300</v>
      </c>
      <c r="B6" s="26" t="s">
        <v>26</v>
      </c>
      <c r="C6" s="26" t="s">
        <v>175</v>
      </c>
      <c r="D6" s="26" t="s">
        <v>176</v>
      </c>
      <c r="E6" s="26" t="n">
        <v>23</v>
      </c>
    </row>
    <row r="7" customFormat="false" ht="15" hidden="false" customHeight="false" outlineLevel="0" collapsed="false">
      <c r="A7" s="49" t="n">
        <v>46301</v>
      </c>
      <c r="B7" s="26" t="s">
        <v>26</v>
      </c>
      <c r="C7" s="26" t="s">
        <v>173</v>
      </c>
      <c r="D7" s="26" t="s">
        <v>174</v>
      </c>
      <c r="E7" s="26" t="n">
        <v>27</v>
      </c>
    </row>
    <row r="8" customFormat="false" ht="15" hidden="false" customHeight="false" outlineLevel="0" collapsed="false">
      <c r="A8" s="49" t="n">
        <v>46301</v>
      </c>
      <c r="B8" s="26" t="s">
        <v>26</v>
      </c>
      <c r="C8" s="26" t="s">
        <v>175</v>
      </c>
      <c r="D8" s="26" t="s">
        <v>176</v>
      </c>
      <c r="E8" s="26" t="n">
        <v>23</v>
      </c>
    </row>
    <row r="9" customFormat="false" ht="15" hidden="false" customHeight="false" outlineLevel="0" collapsed="false">
      <c r="A9" s="49" t="n">
        <v>46305</v>
      </c>
      <c r="B9" s="26" t="s">
        <v>62</v>
      </c>
      <c r="C9" s="26" t="s">
        <v>177</v>
      </c>
      <c r="D9" s="26" t="s">
        <v>178</v>
      </c>
      <c r="E9" s="26" t="n">
        <v>50</v>
      </c>
    </row>
    <row r="10" customFormat="false" ht="15" hidden="false" customHeight="false" outlineLevel="0" collapsed="false">
      <c r="A10" s="49" t="n">
        <v>46305</v>
      </c>
      <c r="B10" s="26" t="s">
        <v>62</v>
      </c>
      <c r="C10" s="26" t="s">
        <v>179</v>
      </c>
      <c r="D10" s="26" t="s">
        <v>178</v>
      </c>
      <c r="E10" s="26" t="n">
        <v>100</v>
      </c>
    </row>
    <row r="11" customFormat="false" ht="15" hidden="false" customHeight="false" outlineLevel="0" collapsed="false">
      <c r="A11" s="49" t="n">
        <v>46307</v>
      </c>
      <c r="B11" s="26" t="s">
        <v>65</v>
      </c>
      <c r="C11" s="26" t="s">
        <v>180</v>
      </c>
      <c r="D11" s="26" t="s">
        <v>181</v>
      </c>
      <c r="E11" s="26" t="n">
        <v>13</v>
      </c>
    </row>
    <row r="12" customFormat="false" ht="15" hidden="false" customHeight="false" outlineLevel="0" collapsed="false">
      <c r="A12" s="49" t="n">
        <v>46307</v>
      </c>
      <c r="B12" s="26" t="s">
        <v>65</v>
      </c>
      <c r="C12" s="26" t="s">
        <v>182</v>
      </c>
      <c r="D12" s="26" t="s">
        <v>181</v>
      </c>
      <c r="E12" s="26" t="n">
        <v>13</v>
      </c>
    </row>
    <row r="13" customFormat="false" ht="15" hidden="false" customHeight="false" outlineLevel="0" collapsed="false">
      <c r="A13" s="49" t="n">
        <v>46307</v>
      </c>
      <c r="B13" s="26" t="s">
        <v>65</v>
      </c>
      <c r="C13" s="26" t="s">
        <v>183</v>
      </c>
      <c r="D13" s="26" t="s">
        <v>181</v>
      </c>
      <c r="E13" s="26" t="n">
        <v>13</v>
      </c>
    </row>
    <row r="14" customFormat="false" ht="15" hidden="false" customHeight="false" outlineLevel="0" collapsed="false">
      <c r="A14" s="49" t="n">
        <v>46307</v>
      </c>
      <c r="B14" s="26" t="s">
        <v>65</v>
      </c>
      <c r="C14" s="26" t="s">
        <v>184</v>
      </c>
      <c r="D14" s="26" t="s">
        <v>181</v>
      </c>
      <c r="E14" s="26" t="n">
        <v>13</v>
      </c>
    </row>
    <row r="15" customFormat="false" ht="15" hidden="false" customHeight="false" outlineLevel="0" collapsed="false">
      <c r="A15" s="49" t="n">
        <v>46307</v>
      </c>
      <c r="B15" s="26" t="s">
        <v>65</v>
      </c>
      <c r="C15" s="26" t="s">
        <v>185</v>
      </c>
      <c r="D15" s="26" t="s">
        <v>181</v>
      </c>
      <c r="E15" s="26" t="n">
        <v>13</v>
      </c>
    </row>
    <row r="16" customFormat="false" ht="15" hidden="false" customHeight="false" outlineLevel="0" collapsed="false">
      <c r="A16" s="49" t="n">
        <v>46307</v>
      </c>
      <c r="B16" s="26" t="s">
        <v>65</v>
      </c>
      <c r="C16" s="26" t="s">
        <v>186</v>
      </c>
      <c r="D16" s="26" t="s">
        <v>181</v>
      </c>
      <c r="E16" s="26" t="n">
        <v>13</v>
      </c>
    </row>
    <row r="17" customFormat="false" ht="15" hidden="false" customHeight="false" outlineLevel="0" collapsed="false">
      <c r="A17" s="49" t="n">
        <v>46307</v>
      </c>
      <c r="B17" s="26" t="s">
        <v>65</v>
      </c>
      <c r="C17" s="26" t="s">
        <v>187</v>
      </c>
      <c r="D17" s="26" t="s">
        <v>181</v>
      </c>
      <c r="E17" s="26" t="n">
        <v>13</v>
      </c>
    </row>
    <row r="18" customFormat="false" ht="15" hidden="false" customHeight="false" outlineLevel="0" collapsed="false">
      <c r="A18" s="49" t="n">
        <v>46307</v>
      </c>
      <c r="B18" s="26" t="s">
        <v>65</v>
      </c>
      <c r="C18" s="26" t="s">
        <v>188</v>
      </c>
      <c r="D18" s="26" t="s">
        <v>181</v>
      </c>
      <c r="E18" s="26" t="n">
        <v>13</v>
      </c>
    </row>
    <row r="19" customFormat="false" ht="15" hidden="false" customHeight="false" outlineLevel="0" collapsed="false">
      <c r="A19" s="49" t="n">
        <v>46307</v>
      </c>
      <c r="B19" s="26" t="s">
        <v>65</v>
      </c>
      <c r="C19" s="26" t="s">
        <v>189</v>
      </c>
      <c r="D19" s="26" t="s">
        <v>181</v>
      </c>
      <c r="E19" s="26" t="n">
        <v>13</v>
      </c>
    </row>
    <row r="20" customFormat="false" ht="15" hidden="false" customHeight="false" outlineLevel="0" collapsed="false">
      <c r="A20" s="49" t="n">
        <v>46307</v>
      </c>
      <c r="B20" s="26" t="s">
        <v>65</v>
      </c>
      <c r="C20" s="26" t="s">
        <v>190</v>
      </c>
      <c r="D20" s="26" t="s">
        <v>181</v>
      </c>
      <c r="E20" s="26" t="n">
        <v>13</v>
      </c>
    </row>
    <row r="21" customFormat="false" ht="15" hidden="false" customHeight="false" outlineLevel="0" collapsed="false">
      <c r="A21" s="49" t="n">
        <v>46307</v>
      </c>
      <c r="B21" s="26" t="s">
        <v>65</v>
      </c>
      <c r="C21" s="26" t="s">
        <v>191</v>
      </c>
      <c r="D21" s="26" t="s">
        <v>181</v>
      </c>
      <c r="E21" s="26" t="n">
        <v>13</v>
      </c>
    </row>
    <row r="22" customFormat="false" ht="15" hidden="false" customHeight="false" outlineLevel="0" collapsed="false">
      <c r="A22" s="49" t="n">
        <v>46307</v>
      </c>
      <c r="B22" s="26" t="s">
        <v>65</v>
      </c>
      <c r="C22" s="26" t="s">
        <v>192</v>
      </c>
      <c r="D22" s="26" t="s">
        <v>181</v>
      </c>
      <c r="E22" s="26" t="n">
        <v>13</v>
      </c>
    </row>
    <row r="23" customFormat="false" ht="15" hidden="false" customHeight="false" outlineLevel="0" collapsed="false">
      <c r="A23" s="49" t="n">
        <v>46307</v>
      </c>
      <c r="B23" s="26" t="s">
        <v>65</v>
      </c>
      <c r="C23" s="26" t="s">
        <v>193</v>
      </c>
      <c r="D23" s="26" t="s">
        <v>181</v>
      </c>
      <c r="E23" s="26" t="n">
        <v>13</v>
      </c>
    </row>
    <row r="24" customFormat="false" ht="15" hidden="false" customHeight="false" outlineLevel="0" collapsed="false">
      <c r="A24" s="49" t="n">
        <v>46307</v>
      </c>
      <c r="B24" s="26" t="s">
        <v>65</v>
      </c>
      <c r="C24" s="26" t="s">
        <v>194</v>
      </c>
      <c r="D24" s="26" t="s">
        <v>181</v>
      </c>
      <c r="E24" s="26" t="n">
        <v>13</v>
      </c>
    </row>
    <row r="25" customFormat="false" ht="15" hidden="false" customHeight="false" outlineLevel="0" collapsed="false">
      <c r="A25" s="49" t="n">
        <v>46307</v>
      </c>
      <c r="B25" s="26" t="s">
        <v>65</v>
      </c>
      <c r="C25" s="26" t="s">
        <v>195</v>
      </c>
      <c r="D25" s="26" t="s">
        <v>181</v>
      </c>
      <c r="E25" s="26" t="n">
        <v>455</v>
      </c>
    </row>
    <row r="26" customFormat="false" ht="15" hidden="false" customHeight="false" outlineLevel="0" collapsed="false">
      <c r="A26" s="49" t="n">
        <v>46307</v>
      </c>
      <c r="B26" s="26" t="s">
        <v>65</v>
      </c>
      <c r="C26" s="26" t="s">
        <v>196</v>
      </c>
      <c r="D26" s="26" t="s">
        <v>181</v>
      </c>
      <c r="E26" s="26" t="n">
        <v>299</v>
      </c>
    </row>
    <row r="27" customFormat="false" ht="15" hidden="false" customHeight="false" outlineLevel="0" collapsed="false">
      <c r="A27" s="49" t="n">
        <v>46307</v>
      </c>
      <c r="B27" s="26" t="s">
        <v>65</v>
      </c>
      <c r="C27" s="26" t="s">
        <v>197</v>
      </c>
      <c r="D27" s="26" t="s">
        <v>181</v>
      </c>
      <c r="E27" s="26" t="n">
        <v>286</v>
      </c>
    </row>
    <row r="28" customFormat="false" ht="15" hidden="false" customHeight="false" outlineLevel="0" collapsed="false">
      <c r="A28" s="49" t="n">
        <v>46307</v>
      </c>
      <c r="B28" s="26" t="s">
        <v>65</v>
      </c>
      <c r="C28" s="26" t="s">
        <v>195</v>
      </c>
      <c r="D28" s="26" t="s">
        <v>181</v>
      </c>
      <c r="E28" s="26" t="n">
        <v>1092</v>
      </c>
    </row>
    <row r="29" customFormat="false" ht="15" hidden="false" customHeight="false" outlineLevel="0" collapsed="false">
      <c r="A29" s="49" t="n">
        <v>46307</v>
      </c>
      <c r="B29" s="26" t="s">
        <v>65</v>
      </c>
      <c r="C29" s="26" t="s">
        <v>198</v>
      </c>
      <c r="D29" s="26" t="s">
        <v>181</v>
      </c>
      <c r="E29" s="26" t="n">
        <v>156</v>
      </c>
    </row>
    <row r="30" customFormat="false" ht="15" hidden="false" customHeight="false" outlineLevel="0" collapsed="false">
      <c r="A30" s="49" t="n">
        <v>46307</v>
      </c>
      <c r="B30" s="26" t="s">
        <v>65</v>
      </c>
      <c r="C30" s="26" t="s">
        <v>199</v>
      </c>
      <c r="D30" s="26" t="s">
        <v>181</v>
      </c>
      <c r="E30" s="26" t="n">
        <v>13</v>
      </c>
    </row>
    <row r="31" customFormat="false" ht="15" hidden="false" customHeight="false" outlineLevel="0" collapsed="false">
      <c r="A31" s="49" t="n">
        <v>46307</v>
      </c>
      <c r="B31" s="26" t="s">
        <v>65</v>
      </c>
      <c r="C31" s="26" t="s">
        <v>200</v>
      </c>
      <c r="D31" s="26" t="s">
        <v>181</v>
      </c>
      <c r="E31" s="26" t="n">
        <v>13</v>
      </c>
    </row>
    <row r="32" customFormat="false" ht="15" hidden="false" customHeight="false" outlineLevel="0" collapsed="false">
      <c r="A32" s="49" t="n">
        <v>46307</v>
      </c>
      <c r="B32" s="26" t="s">
        <v>65</v>
      </c>
      <c r="C32" s="26" t="s">
        <v>201</v>
      </c>
      <c r="D32" s="26" t="s">
        <v>181</v>
      </c>
      <c r="E32" s="26" t="n">
        <v>13</v>
      </c>
    </row>
    <row r="33" customFormat="false" ht="15" hidden="false" customHeight="false" outlineLevel="0" collapsed="false">
      <c r="A33" s="49" t="n">
        <v>46307</v>
      </c>
      <c r="B33" s="26" t="s">
        <v>65</v>
      </c>
      <c r="C33" s="26" t="s">
        <v>202</v>
      </c>
      <c r="D33" s="26" t="s">
        <v>181</v>
      </c>
      <c r="E33" s="26" t="n">
        <v>13</v>
      </c>
    </row>
    <row r="34" customFormat="false" ht="15" hidden="false" customHeight="false" outlineLevel="0" collapsed="false">
      <c r="A34" s="49" t="n">
        <v>46309</v>
      </c>
      <c r="B34" s="26" t="s">
        <v>79</v>
      </c>
      <c r="C34" s="26" t="s">
        <v>74</v>
      </c>
      <c r="D34" s="26" t="s">
        <v>203</v>
      </c>
      <c r="E34" s="26" t="n">
        <v>100</v>
      </c>
    </row>
    <row r="35" customFormat="false" ht="15" hidden="false" customHeight="false" outlineLevel="0" collapsed="false">
      <c r="A35" s="49" t="n">
        <v>46310</v>
      </c>
      <c r="B35" s="26" t="s">
        <v>62</v>
      </c>
      <c r="C35" s="26" t="s">
        <v>80</v>
      </c>
      <c r="D35" s="26" t="s">
        <v>204</v>
      </c>
      <c r="E35" s="26" t="n">
        <v>4</v>
      </c>
    </row>
    <row r="36" customFormat="false" ht="15" hidden="false" customHeight="false" outlineLevel="0" collapsed="false">
      <c r="A36" s="49" t="n">
        <v>46315</v>
      </c>
      <c r="B36" s="26" t="s">
        <v>62</v>
      </c>
      <c r="C36" s="26" t="s">
        <v>109</v>
      </c>
      <c r="D36" s="26" t="s">
        <v>204</v>
      </c>
      <c r="E36" s="26" t="n">
        <v>30</v>
      </c>
    </row>
    <row r="37" customFormat="false" ht="15" hidden="false" customHeight="false" outlineLevel="0" collapsed="false">
      <c r="A37" s="49" t="n">
        <v>46315</v>
      </c>
      <c r="B37" s="26" t="s">
        <v>62</v>
      </c>
      <c r="C37" s="26" t="s">
        <v>110</v>
      </c>
      <c r="D37" s="26" t="s">
        <v>205</v>
      </c>
      <c r="E37" s="26" t="n">
        <v>2</v>
      </c>
    </row>
    <row r="38" customFormat="false" ht="15" hidden="false" customHeight="false" outlineLevel="0" collapsed="false">
      <c r="A38" s="49" t="n">
        <v>46315</v>
      </c>
      <c r="B38" s="26" t="s">
        <v>62</v>
      </c>
      <c r="C38" s="26" t="s">
        <v>114</v>
      </c>
      <c r="D38" s="26" t="s">
        <v>206</v>
      </c>
      <c r="E38" s="26" t="n">
        <v>30</v>
      </c>
    </row>
    <row r="39" customFormat="false" ht="15" hidden="false" customHeight="false" outlineLevel="0" collapsed="false">
      <c r="A39" s="49" t="n">
        <v>46318</v>
      </c>
      <c r="B39" s="26" t="s">
        <v>79</v>
      </c>
      <c r="C39" s="26" t="s">
        <v>119</v>
      </c>
      <c r="D39" s="26" t="s">
        <v>207</v>
      </c>
      <c r="E39" s="26" t="n">
        <v>65</v>
      </c>
    </row>
    <row r="40" customFormat="false" ht="15" hidden="false" customHeight="false" outlineLevel="0" collapsed="false">
      <c r="A40" s="49" t="n">
        <v>46319</v>
      </c>
      <c r="B40" s="26" t="s">
        <v>62</v>
      </c>
      <c r="C40" s="26" t="s">
        <v>124</v>
      </c>
      <c r="D40" s="26" t="s">
        <v>208</v>
      </c>
      <c r="E40" s="26" t="s">
        <v>209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5" hidden="false" customHeight="false" outlineLevel="0" collapsed="false">
      <c r="A1" s="50" t="s">
        <v>210</v>
      </c>
    </row>
    <row r="2" customFormat="false" ht="15" hidden="false" customHeight="false" outlineLevel="0" collapsed="false">
      <c r="A2" s="51" t="s">
        <v>211</v>
      </c>
    </row>
    <row r="3" customFormat="false" ht="25.35" hidden="false" customHeight="false" outlineLevel="0" collapsed="false">
      <c r="A3" s="51" t="s">
        <v>212</v>
      </c>
    </row>
    <row r="4" customFormat="false" ht="15" hidden="false" customHeight="false" outlineLevel="0" collapsed="false">
      <c r="A4" s="51" t="s">
        <v>213</v>
      </c>
    </row>
    <row r="5" customFormat="false" ht="25.35" hidden="false" customHeight="false" outlineLevel="0" collapsed="false">
      <c r="A5" s="51" t="s">
        <v>214</v>
      </c>
    </row>
    <row r="6" customFormat="false" ht="15" hidden="false" customHeight="false" outlineLevel="0" collapsed="false">
      <c r="A6" s="51" t="s">
        <v>215</v>
      </c>
    </row>
    <row r="7" customFormat="false" ht="25.35" hidden="false" customHeight="false" outlineLevel="0" collapsed="false">
      <c r="A7" s="51" t="s">
        <v>216</v>
      </c>
    </row>
    <row r="8" customFormat="false" ht="49.25" hidden="false" customHeight="false" outlineLevel="0" collapsed="false">
      <c r="A8" s="51" t="s">
        <v>217</v>
      </c>
    </row>
    <row r="9" customFormat="false" ht="25.35" hidden="false" customHeight="false" outlineLevel="0" collapsed="false">
      <c r="A9" s="51" t="s">
        <v>218</v>
      </c>
    </row>
    <row r="10" customFormat="false" ht="37.3" hidden="false" customHeight="false" outlineLevel="0" collapsed="false">
      <c r="A10" s="51" t="s">
        <v>219</v>
      </c>
    </row>
    <row r="11" customFormat="false" ht="25.35" hidden="false" customHeight="false" outlineLevel="0" collapsed="false">
      <c r="A11" s="51" t="s">
        <v>220</v>
      </c>
    </row>
    <row r="12" customFormat="false" ht="25.35" hidden="false" customHeight="false" outlineLevel="0" collapsed="false">
      <c r="A12" s="51" t="s">
        <v>221</v>
      </c>
    </row>
    <row r="13" customFormat="false" ht="37.3" hidden="false" customHeight="false" outlineLevel="0" collapsed="false">
      <c r="A13" s="51" t="s">
        <v>222</v>
      </c>
    </row>
    <row r="14" customFormat="false" ht="25.35" hidden="false" customHeight="false" outlineLevel="0" collapsed="false">
      <c r="A14" s="51" t="s">
        <v>223</v>
      </c>
    </row>
    <row r="15" customFormat="false" ht="25.35" hidden="false" customHeight="false" outlineLevel="0" collapsed="false">
      <c r="A15" s="51" t="s">
        <v>224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2026-10-24T07:35:19Z</dcterms:created>
  <dc:creator>openpyxl</dc:creator>
  <dc:description/>
  <dc:language>en-US</dc:language>
  <cp:lastModifiedBy/>
  <dcterms:modified xsi:type="dcterms:W3CDTF">2026-10-24T07:35:22Z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