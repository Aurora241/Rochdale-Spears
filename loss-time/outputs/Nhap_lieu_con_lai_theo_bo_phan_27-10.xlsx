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embly" sheetId="1" state="visible" r:id="rId3"/>
    <sheet name="Machining" sheetId="2" state="visible" r:id="rId4"/>
    <sheet name="Raw Cutting" sheetId="3" state="visible" r:id="rId5"/>
    <sheet name="Sửa theo bộ phận" sheetId="4" state="visible" r:id="rId6"/>
    <sheet name="S32 Raw Cutting còn lại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<sst xmlns="http://schemas.openxmlformats.org/spreadsheetml/2006/main" count="166" uniqueCount="76">
  <si>
    <t xml:space="preserve">BẢNG NHẬP LIỆU - ASSEMBLY</t>
  </si>
  <si>
    <t xml:space="preserve">Thứ tự cố định: theo ngày, trong mỗi ngày theo mã P20, P26, P22, A2. Nhập đúng thứ tự cột như form: LossTime Code | Notes | Process | Dept In Charge | From | To | Worker Qty. Nhập xong dòng nào thì đánh dấu X cột "Đã nhập".</t>
  </si>
  <si>
    <t xml:space="preserve">Ngày (Loss Date)</t>
  </si>
  <si>
    <t xml:space="preserve">LossTime Code</t>
  </si>
  <si>
    <t xml:space="preserve">Notes</t>
  </si>
  <si>
    <t xml:space="preserve">Process</t>
  </si>
  <si>
    <t xml:space="preserve">Dept In Charge</t>
  </si>
  <si>
    <t xml:space="preserve">From</t>
  </si>
  <si>
    <t xml:space="preserve">To</t>
  </si>
  <si>
    <t xml:space="preserve">Worker Qty</t>
  </si>
  <si>
    <t xml:space="preserve">Giờ công (tham khảo)</t>
  </si>
  <si>
    <t xml:space="preserve">Đã nhập</t>
  </si>
  <si>
    <t xml:space="preserve">Tổng</t>
  </si>
  <si>
    <t xml:space="preserve">BẢNG NHẬP LIỆU - MACHINING</t>
  </si>
  <si>
    <t xml:space="preserve">Thứ Bảy 24/10/2026: 1 dòng</t>
  </si>
  <si>
    <t xml:space="preserve">P26</t>
  </si>
  <si>
    <t xml:space="preserve">Ghi nhận hàng giao kho</t>
  </si>
  <si>
    <t xml:space="preserve">Machining</t>
  </si>
  <si>
    <t xml:space="preserve">MACHINING</t>
  </si>
  <si>
    <t xml:space="preserve">BẢNG NHẬP LIỆU - RAW CUTTING</t>
  </si>
  <si>
    <t xml:space="preserve">A2</t>
  </si>
  <si>
    <t xml:space="preserve">HC mới- 50% hiệu suất- 2 tuần-23/10</t>
  </si>
  <si>
    <t xml:space="preserve">Raw Cutting</t>
  </si>
  <si>
    <t xml:space="preserve">HR/ HSE</t>
  </si>
  <si>
    <t xml:space="preserve">DÒNG ĐÃ NHẬP CẦN SỬA (đối chiếu file xuất 27/10, 19/10-25/10). Xếp theo bộ phận, ngày, mã.</t>
  </si>
  <si>
    <t xml:space="preserve">Bộ phận</t>
  </si>
  <si>
    <t xml:space="preserve">Ngày</t>
  </si>
  <si>
    <t xml:space="preserve">Mã</t>
  </si>
  <si>
    <t xml:space="preserve">Nhận ra dòng bằng</t>
  </si>
  <si>
    <t xml:space="preserve">Ô cần sửa</t>
  </si>
  <si>
    <t xml:space="preserve">Đang có</t>
  </si>
  <si>
    <t xml:space="preserve">Sửa thành</t>
  </si>
  <si>
    <t xml:space="preserve">Giờ công thay đổi</t>
  </si>
  <si>
    <t xml:space="preserve">Đã làm</t>
  </si>
  <si>
    <t xml:space="preserve">Assembly</t>
  </si>
  <si>
    <t xml:space="preserve">Notes "HC mới- 50% hiệu suất- 2 tuần-09/10", Assembly, 7:30-12:00, 6 người: đang có 2 dòng giống nhau. Sửa 1 trong 2 dòng thành Raw Cutting 2 người</t>
  </si>
  <si>
    <t xml:space="preserve">Process và Worker Qty</t>
  </si>
  <si>
    <t xml:space="preserve">Assembly, 6</t>
  </si>
  <si>
    <t xml:space="preserve">Raw Cutting, 2</t>
  </si>
  <si>
    <t xml:space="preserve">Notes "...2 tuần-13/10", Assembly, 7:30-12:00</t>
  </si>
  <si>
    <t xml:space="preserve">4</t>
  </si>
  <si>
    <t xml:space="preserve">2</t>
  </si>
  <si>
    <t xml:space="preserve">Notes "...2 tuần-15/10", Assembly, 7:30-12:00</t>
  </si>
  <si>
    <t xml:space="preserve">Notes "...2 tuần-19/10", Assembly, 7:30-12:00</t>
  </si>
  <si>
    <t xml:space="preserve">1</t>
  </si>
  <si>
    <t xml:space="preserve">P20</t>
  </si>
  <si>
    <t xml:space="preserve">Vệ sinh khu vực máy móc MAC FINAL (Machining, 7:00-7:30, 7 người)</t>
  </si>
  <si>
    <t xml:space="preserve">RAW CUTTING</t>
  </si>
  <si>
    <t xml:space="preserve">Vệ sinh khu vực máy móc PRE MAC (Machining, 7:00-7:30, 12 người)</t>
  </si>
  <si>
    <t xml:space="preserve">Shop Floor data MAC FINAL (Machining, 7:30-15:30, 1 người)</t>
  </si>
  <si>
    <t xml:space="preserve">Shop Floor data- STOCK ROOM (Machining, 7:30-15:30, 1 người)</t>
  </si>
  <si>
    <t xml:space="preserve">S32 RAW CUTTING CÒN LẠI (hệ thống 27/10 vẫn chưa sửa). Assembly bạn tự nhập.</t>
  </si>
  <si>
    <t xml:space="preserve">Việc cần làm</t>
  </si>
  <si>
    <t xml:space="preserve">Giờ công</t>
  </si>
  <si>
    <t xml:space="preserve">Ghi chú</t>
  </si>
  <si>
    <t xml:space="preserve">NHẬP THÊM</t>
  </si>
  <si>
    <t xml:space="preserve">Không có bomtime chuyền UV</t>
  </si>
  <si>
    <t xml:space="preserve">FINISHING</t>
  </si>
  <si>
    <t xml:space="preserve">UV ca thường</t>
  </si>
  <si>
    <t xml:space="preserve">UV tăng ca</t>
  </si>
  <si>
    <t xml:space="preserve">UV ca thường (tăng ca đã có)</t>
  </si>
  <si>
    <t xml:space="preserve">XÓA</t>
  </si>
  <si>
    <t xml:space="preserve">Không có bomtime chuyền UV (dòng 12 người)</t>
  </si>
  <si>
    <t xml:space="preserve">Giữ dòng 11 người (88 giờ), khớp báo cáo UV</t>
  </si>
  <si>
    <t xml:space="preserve">SỬA NGÀY</t>
  </si>
  <si>
    <t xml:space="preserve">Beam saw A05-S01-1 (AR1113F1330) 18:00-18:02</t>
  </si>
  <si>
    <t xml:space="preserve">Loss Date 18/10 đổi thành 19/10</t>
  </si>
  <si>
    <t xml:space="preserve">Beam saw A05-S01-2 (AR1113F1330) 18:02-18:04</t>
  </si>
  <si>
    <t xml:space="preserve">Beam saw A1-S02 (SH20-1029-1471-41191) 18:04-18:07</t>
  </si>
  <si>
    <t xml:space="preserve">ĐIỀN BỘ PHẬN</t>
  </si>
  <si>
    <t xml:space="preserve">Beam saw CZ567F08 18:10-18:15</t>
  </si>
  <si>
    <t xml:space="preserve">(đang trống)</t>
  </si>
  <si>
    <t xml:space="preserve">Đề xuất OTHERS (INVESTIGATE)</t>
  </si>
  <si>
    <t xml:space="preserve">Beam saw CZ567F09 18:15-18:18</t>
  </si>
  <si>
    <t xml:space="preserve">Veneer walnut cắt ghép (bs lại) RH21-2184-492 10:00-11:15</t>
  </si>
  <si>
    <t xml:space="preserve">Nguồn ghi "bs lại", cần hỏi bộ phận đúng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</si>
</sst>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"/>
    <numFmt numFmtId="166" formatCode="0.0"/>
    <numFmt numFmtId="167" formatCode="dd/mm/yyyy"/>
    <numFmt numFmtId="168" formatCode="hh:mm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Times New Roman"/>
      <family val="0"/>
      <charset val="1"/>
    </font>
    <font>
      <i val="true"/>
      <sz val="11"/>
      <name val="Times New Roman"/>
      <family val="0"/>
      <charset val="1"/>
    </font>
    <font>
      <b val="true"/>
      <sz val="11"/>
      <color rgb="FFFFFFFF"/>
      <name val="Times New Roman"/>
      <family val="0"/>
      <charset val="1"/>
    </font>
    <font>
      <b val="true"/>
      <sz val="11"/>
      <name val="Times New Roman"/>
      <family val="0"/>
      <charset val="1"/>
    </font>
    <font>
      <sz val="11"/>
      <name val="Times New Roman"/>
      <family val="0"/>
      <charset val="1"/>
    </font>
    <font>
      <b val="true"/>
      <sz val="13"/>
      <name val="Times New Roman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C00000"/>
        <bgColor rgb="FF800000"/>
      </patternFill>
    </fill>
    <fill>
      <patternFill patternType="solid">
        <fgColor rgb="FFD9D9D9"/>
        <bgColor rgb="FFDDEBF7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46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7" min="6" style="0" width="8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9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4" t="s">
        <v>10</v>
      </c>
      <c r="J4" s="4" t="s">
        <v>11</v>
      </c>
    </row>
    <row r="5" customFormat="false" ht="15" hidden="false" customHeight="false" outlineLevel="0" collapsed="false">
      <c r="H5" s="5" t="s">
        <v>12</v>
      </c>
      <c r="I5" s="6" t="n">
        <f aca="false">SUMIF(A5:A4,"&gt;0",I5:I4)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46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7" min="6" style="0" width="8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9"/>
  </cols>
  <sheetData>
    <row r="1" customFormat="false" ht="17.35" hidden="false" customHeight="false" outlineLevel="0" collapsed="false">
      <c r="A1" s="1" t="s">
        <v>13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4" t="s">
        <v>10</v>
      </c>
      <c r="J4" s="4" t="s">
        <v>11</v>
      </c>
    </row>
    <row r="5" customFormat="false" ht="15" hidden="false" customHeight="false" outlineLevel="0" collapsed="false">
      <c r="A5" s="7" t="s">
        <v>14</v>
      </c>
      <c r="B5" s="7"/>
      <c r="C5" s="7"/>
      <c r="D5" s="7"/>
      <c r="E5" s="7"/>
      <c r="F5" s="7"/>
      <c r="G5" s="7"/>
      <c r="H5" s="7"/>
      <c r="I5" s="8" t="n">
        <f aca="false">SUM(I6:I6)</f>
        <v>8</v>
      </c>
      <c r="J5" s="7"/>
    </row>
    <row r="6" customFormat="false" ht="15" hidden="false" customHeight="false" outlineLevel="0" collapsed="false">
      <c r="A6" s="9" t="n">
        <v>46319</v>
      </c>
      <c r="B6" s="10" t="s">
        <v>15</v>
      </c>
      <c r="C6" s="11" t="s">
        <v>16</v>
      </c>
      <c r="D6" s="10" t="s">
        <v>17</v>
      </c>
      <c r="E6" s="10" t="s">
        <v>18</v>
      </c>
      <c r="F6" s="12" t="n">
        <v>0.3125</v>
      </c>
      <c r="G6" s="12" t="n">
        <v>0.645833333333333</v>
      </c>
      <c r="H6" s="10" t="n">
        <v>1</v>
      </c>
      <c r="I6" s="13" t="n">
        <f aca="false">IF(H6="","",(G6-F6)*24*H6)</f>
        <v>8</v>
      </c>
      <c r="J6" s="10"/>
    </row>
    <row r="8" customFormat="false" ht="15" hidden="false" customHeight="false" outlineLevel="0" collapsed="false">
      <c r="H8" s="5" t="s">
        <v>12</v>
      </c>
      <c r="I8" s="6" t="n">
        <f aca="false">SUMIF(A5:A7,"&gt;0",I5:I7)</f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46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7" min="6" style="0" width="8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9"/>
  </cols>
  <sheetData>
    <row r="1" customFormat="false" ht="17.35" hidden="false" customHeight="false" outlineLevel="0" collapsed="false">
      <c r="A1" s="1" t="s">
        <v>19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4" t="s">
        <v>10</v>
      </c>
      <c r="J4" s="4" t="s">
        <v>11</v>
      </c>
    </row>
    <row r="5" customFormat="false" ht="15" hidden="false" customHeight="false" outlineLevel="0" collapsed="false">
      <c r="A5" s="7" t="s">
        <v>14</v>
      </c>
      <c r="B5" s="7"/>
      <c r="C5" s="7"/>
      <c r="D5" s="7"/>
      <c r="E5" s="7"/>
      <c r="F5" s="7"/>
      <c r="G5" s="7"/>
      <c r="H5" s="7"/>
      <c r="I5" s="8" t="n">
        <f aca="false">SUM(I6:I6)</f>
        <v>4.5</v>
      </c>
      <c r="J5" s="7"/>
    </row>
    <row r="6" customFormat="false" ht="15" hidden="false" customHeight="false" outlineLevel="0" collapsed="false">
      <c r="A6" s="14" t="n">
        <v>46319</v>
      </c>
      <c r="B6" s="15" t="s">
        <v>20</v>
      </c>
      <c r="C6" s="16" t="s">
        <v>21</v>
      </c>
      <c r="D6" s="15" t="s">
        <v>22</v>
      </c>
      <c r="E6" s="15" t="s">
        <v>23</v>
      </c>
      <c r="F6" s="17" t="n">
        <v>0.3125</v>
      </c>
      <c r="G6" s="17" t="n">
        <v>0.5</v>
      </c>
      <c r="H6" s="15" t="n">
        <v>1</v>
      </c>
      <c r="I6" s="18" t="n">
        <f aca="false">IF(H6="","",(G6-F6)*24*H6)</f>
        <v>4.5</v>
      </c>
      <c r="J6" s="15"/>
    </row>
    <row r="8" customFormat="false" ht="15" hidden="false" customHeight="false" outlineLevel="0" collapsed="false">
      <c r="H8" s="5" t="s">
        <v>12</v>
      </c>
      <c r="I8" s="6" t="n">
        <f aca="false">SUMIF(A5:A7,"&gt;0",I5:I7)</f>
        <v>4.5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7"/>
    <col collapsed="false" customWidth="true" hidden="false" outlineLevel="0" max="4" min="4" style="0" width="70"/>
    <col collapsed="false" customWidth="true" hidden="false" outlineLevel="0" max="5" min="5" style="0" width="22"/>
    <col collapsed="false" customWidth="true" hidden="false" outlineLevel="0" max="7" min="6" style="0" width="16"/>
    <col collapsed="false" customWidth="true" hidden="false" outlineLevel="0" max="8" min="8" style="0" width="14"/>
    <col collapsed="false" customWidth="true" hidden="false" outlineLevel="0" max="9" min="9" style="0" width="9"/>
  </cols>
  <sheetData>
    <row r="1" customFormat="false" ht="16.15" hidden="false" customHeight="false" outlineLevel="0" collapsed="false">
      <c r="A1" s="19" t="s">
        <v>24</v>
      </c>
    </row>
    <row r="3" customFormat="false" ht="25.35" hidden="false" customHeight="false" outlineLevel="0" collapsed="false">
      <c r="A3" s="3" t="s">
        <v>25</v>
      </c>
      <c r="B3" s="3" t="s">
        <v>26</v>
      </c>
      <c r="C3" s="3" t="s">
        <v>27</v>
      </c>
      <c r="D3" s="3" t="s">
        <v>28</v>
      </c>
      <c r="E3" s="3" t="s">
        <v>29</v>
      </c>
      <c r="F3" s="3" t="s">
        <v>30</v>
      </c>
      <c r="G3" s="3" t="s">
        <v>31</v>
      </c>
      <c r="H3" s="3" t="s">
        <v>32</v>
      </c>
      <c r="I3" s="3" t="s">
        <v>33</v>
      </c>
    </row>
    <row r="4" customFormat="false" ht="25.35" hidden="false" customHeight="false" outlineLevel="0" collapsed="false">
      <c r="A4" s="10" t="s">
        <v>34</v>
      </c>
      <c r="B4" s="9" t="n">
        <v>46316</v>
      </c>
      <c r="C4" s="10" t="s">
        <v>20</v>
      </c>
      <c r="D4" s="11" t="s">
        <v>35</v>
      </c>
      <c r="E4" s="10" t="s">
        <v>36</v>
      </c>
      <c r="F4" s="10" t="s">
        <v>37</v>
      </c>
      <c r="G4" s="10" t="s">
        <v>38</v>
      </c>
      <c r="H4" s="10" t="n">
        <v>-18</v>
      </c>
      <c r="I4" s="10"/>
    </row>
    <row r="5" customFormat="false" ht="15" hidden="false" customHeight="false" outlineLevel="0" collapsed="false">
      <c r="A5" s="10" t="s">
        <v>34</v>
      </c>
      <c r="B5" s="9" t="n">
        <v>46320</v>
      </c>
      <c r="C5" s="10" t="s">
        <v>20</v>
      </c>
      <c r="D5" s="11" t="s">
        <v>39</v>
      </c>
      <c r="E5" s="10" t="s">
        <v>9</v>
      </c>
      <c r="F5" s="10" t="s">
        <v>40</v>
      </c>
      <c r="G5" s="10" t="s">
        <v>41</v>
      </c>
      <c r="H5" s="10" t="n">
        <v>-9</v>
      </c>
      <c r="I5" s="10"/>
    </row>
    <row r="6" customFormat="false" ht="15" hidden="false" customHeight="false" outlineLevel="0" collapsed="false">
      <c r="A6" s="10" t="s">
        <v>34</v>
      </c>
      <c r="B6" s="9" t="n">
        <v>46320</v>
      </c>
      <c r="C6" s="10" t="s">
        <v>20</v>
      </c>
      <c r="D6" s="11" t="s">
        <v>42</v>
      </c>
      <c r="E6" s="10" t="s">
        <v>9</v>
      </c>
      <c r="F6" s="10" t="s">
        <v>41</v>
      </c>
      <c r="G6" s="10" t="s">
        <v>40</v>
      </c>
      <c r="H6" s="10" t="n">
        <v>9</v>
      </c>
      <c r="I6" s="10"/>
    </row>
    <row r="7" customFormat="false" ht="15" hidden="false" customHeight="false" outlineLevel="0" collapsed="false">
      <c r="A7" s="10" t="s">
        <v>34</v>
      </c>
      <c r="B7" s="9" t="n">
        <v>46320</v>
      </c>
      <c r="C7" s="10" t="s">
        <v>20</v>
      </c>
      <c r="D7" s="11" t="s">
        <v>43</v>
      </c>
      <c r="E7" s="10" t="s">
        <v>9</v>
      </c>
      <c r="F7" s="10" t="s">
        <v>44</v>
      </c>
      <c r="G7" s="10" t="s">
        <v>41</v>
      </c>
      <c r="H7" s="10" t="n">
        <v>4.5</v>
      </c>
      <c r="I7" s="10"/>
    </row>
    <row r="8" customFormat="false" ht="15" hidden="false" customHeight="false" outlineLevel="0" collapsed="false">
      <c r="A8" s="10" t="s">
        <v>17</v>
      </c>
      <c r="B8" s="9" t="n">
        <v>46319</v>
      </c>
      <c r="C8" s="10" t="s">
        <v>45</v>
      </c>
      <c r="D8" s="11" t="s">
        <v>46</v>
      </c>
      <c r="E8" s="10" t="s">
        <v>6</v>
      </c>
      <c r="F8" s="10" t="s">
        <v>47</v>
      </c>
      <c r="G8" s="10" t="s">
        <v>18</v>
      </c>
      <c r="H8" s="10" t="n">
        <v>0</v>
      </c>
      <c r="I8" s="10"/>
    </row>
    <row r="9" customFormat="false" ht="15" hidden="false" customHeight="false" outlineLevel="0" collapsed="false">
      <c r="A9" s="10" t="s">
        <v>17</v>
      </c>
      <c r="B9" s="9" t="n">
        <v>46319</v>
      </c>
      <c r="C9" s="10" t="s">
        <v>45</v>
      </c>
      <c r="D9" s="11" t="s">
        <v>48</v>
      </c>
      <c r="E9" s="10" t="s">
        <v>6</v>
      </c>
      <c r="F9" s="10" t="s">
        <v>47</v>
      </c>
      <c r="G9" s="10" t="s">
        <v>18</v>
      </c>
      <c r="H9" s="10" t="n">
        <v>0</v>
      </c>
      <c r="I9" s="10"/>
    </row>
    <row r="10" customFormat="false" ht="15" hidden="false" customHeight="false" outlineLevel="0" collapsed="false">
      <c r="A10" s="10" t="s">
        <v>17</v>
      </c>
      <c r="B10" s="9" t="n">
        <v>46319</v>
      </c>
      <c r="C10" s="10" t="s">
        <v>15</v>
      </c>
      <c r="D10" s="11" t="s">
        <v>49</v>
      </c>
      <c r="E10" s="10" t="s">
        <v>6</v>
      </c>
      <c r="F10" s="10" t="s">
        <v>47</v>
      </c>
      <c r="G10" s="10" t="s">
        <v>18</v>
      </c>
      <c r="H10" s="10" t="n">
        <v>0</v>
      </c>
      <c r="I10" s="10"/>
    </row>
    <row r="11" customFormat="false" ht="15" hidden="false" customHeight="false" outlineLevel="0" collapsed="false">
      <c r="A11" s="10" t="s">
        <v>17</v>
      </c>
      <c r="B11" s="9" t="n">
        <v>46319</v>
      </c>
      <c r="C11" s="10" t="s">
        <v>15</v>
      </c>
      <c r="D11" s="11" t="s">
        <v>50</v>
      </c>
      <c r="E11" s="10" t="s">
        <v>6</v>
      </c>
      <c r="F11" s="10" t="s">
        <v>47</v>
      </c>
      <c r="G11" s="10" t="s">
        <v>18</v>
      </c>
      <c r="H11" s="10" t="n">
        <v>0</v>
      </c>
      <c r="I11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56"/>
    <col collapsed="false" customWidth="true" hidden="false" outlineLevel="0" max="5" min="4" style="0" width="8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10"/>
    <col collapsed="false" customWidth="true" hidden="false" outlineLevel="0" max="9" min="9" style="0" width="44"/>
    <col collapsed="false" customWidth="true" hidden="false" outlineLevel="0" max="10" min="10" style="0" width="9"/>
  </cols>
  <sheetData>
    <row r="1" customFormat="false" ht="16.15" hidden="false" customHeight="false" outlineLevel="0" collapsed="false">
      <c r="A1" s="19" t="s">
        <v>51</v>
      </c>
    </row>
    <row r="3" customFormat="false" ht="25.35" hidden="false" customHeight="false" outlineLevel="0" collapsed="false">
      <c r="A3" s="3" t="s">
        <v>52</v>
      </c>
      <c r="B3" s="3" t="s">
        <v>26</v>
      </c>
      <c r="C3" s="3" t="s">
        <v>4</v>
      </c>
      <c r="D3" s="3" t="s">
        <v>7</v>
      </c>
      <c r="E3" s="3" t="s">
        <v>8</v>
      </c>
      <c r="F3" s="3" t="s">
        <v>9</v>
      </c>
      <c r="G3" s="3" t="s">
        <v>6</v>
      </c>
      <c r="H3" s="3" t="s">
        <v>53</v>
      </c>
      <c r="I3" s="3" t="s">
        <v>54</v>
      </c>
      <c r="J3" s="3" t="s">
        <v>33</v>
      </c>
    </row>
    <row r="4" customFormat="false" ht="15" hidden="false" customHeight="false" outlineLevel="0" collapsed="false">
      <c r="A4" s="10" t="s">
        <v>55</v>
      </c>
      <c r="B4" s="9" t="n">
        <v>46314</v>
      </c>
      <c r="C4" s="11" t="s">
        <v>56</v>
      </c>
      <c r="D4" s="12" t="n">
        <v>0.3125</v>
      </c>
      <c r="E4" s="12" t="n">
        <v>0.645833333333333</v>
      </c>
      <c r="F4" s="10" t="n">
        <v>12</v>
      </c>
      <c r="G4" s="10" t="s">
        <v>57</v>
      </c>
      <c r="H4" s="10" t="n">
        <v>96</v>
      </c>
      <c r="I4" s="11" t="s">
        <v>58</v>
      </c>
      <c r="J4" s="10"/>
    </row>
    <row r="5" customFormat="false" ht="15" hidden="false" customHeight="false" outlineLevel="0" collapsed="false">
      <c r="A5" s="10" t="s">
        <v>55</v>
      </c>
      <c r="B5" s="9" t="n">
        <v>46314</v>
      </c>
      <c r="C5" s="11" t="s">
        <v>56</v>
      </c>
      <c r="D5" s="12" t="n">
        <v>0.645833333333333</v>
      </c>
      <c r="E5" s="12" t="n">
        <v>0.8125</v>
      </c>
      <c r="F5" s="10" t="n">
        <v>10</v>
      </c>
      <c r="G5" s="10" t="s">
        <v>57</v>
      </c>
      <c r="H5" s="10" t="n">
        <v>40</v>
      </c>
      <c r="I5" s="11" t="s">
        <v>59</v>
      </c>
      <c r="J5" s="10"/>
    </row>
    <row r="6" customFormat="false" ht="15" hidden="false" customHeight="false" outlineLevel="0" collapsed="false">
      <c r="A6" s="10" t="s">
        <v>55</v>
      </c>
      <c r="B6" s="9" t="n">
        <v>46315</v>
      </c>
      <c r="C6" s="11" t="s">
        <v>56</v>
      </c>
      <c r="D6" s="12" t="n">
        <v>0.3125</v>
      </c>
      <c r="E6" s="12" t="n">
        <v>0.645833333333333</v>
      </c>
      <c r="F6" s="10" t="n">
        <v>12</v>
      </c>
      <c r="G6" s="10" t="s">
        <v>57</v>
      </c>
      <c r="H6" s="10" t="n">
        <v>96</v>
      </c>
      <c r="I6" s="11" t="s">
        <v>58</v>
      </c>
      <c r="J6" s="10"/>
    </row>
    <row r="7" customFormat="false" ht="15" hidden="false" customHeight="false" outlineLevel="0" collapsed="false">
      <c r="A7" s="10" t="s">
        <v>55</v>
      </c>
      <c r="B7" s="9" t="n">
        <v>46315</v>
      </c>
      <c r="C7" s="11" t="s">
        <v>56</v>
      </c>
      <c r="D7" s="12" t="n">
        <v>0.645833333333333</v>
      </c>
      <c r="E7" s="12" t="n">
        <v>0.8125</v>
      </c>
      <c r="F7" s="10" t="n">
        <v>10</v>
      </c>
      <c r="G7" s="10" t="s">
        <v>57</v>
      </c>
      <c r="H7" s="10" t="n">
        <v>40</v>
      </c>
      <c r="I7" s="11" t="s">
        <v>59</v>
      </c>
      <c r="J7" s="10"/>
    </row>
    <row r="8" customFormat="false" ht="15" hidden="false" customHeight="false" outlineLevel="0" collapsed="false">
      <c r="A8" s="10" t="s">
        <v>55</v>
      </c>
      <c r="B8" s="9" t="n">
        <v>46316</v>
      </c>
      <c r="C8" s="11" t="s">
        <v>56</v>
      </c>
      <c r="D8" s="12" t="n">
        <v>0.3125</v>
      </c>
      <c r="E8" s="12" t="n">
        <v>0.645833333333333</v>
      </c>
      <c r="F8" s="10" t="n">
        <v>12</v>
      </c>
      <c r="G8" s="10" t="s">
        <v>57</v>
      </c>
      <c r="H8" s="10" t="n">
        <v>96</v>
      </c>
      <c r="I8" s="11" t="s">
        <v>60</v>
      </c>
      <c r="J8" s="10"/>
    </row>
    <row r="9" customFormat="false" ht="15" hidden="false" customHeight="false" outlineLevel="0" collapsed="false">
      <c r="A9" s="10" t="s">
        <v>61</v>
      </c>
      <c r="B9" s="9" t="n">
        <v>46319</v>
      </c>
      <c r="C9" s="11" t="s">
        <v>62</v>
      </c>
      <c r="D9" s="12" t="n">
        <v>0.3125</v>
      </c>
      <c r="E9" s="12" t="n">
        <v>0.645833333333333</v>
      </c>
      <c r="F9" s="10" t="n">
        <v>12</v>
      </c>
      <c r="G9" s="10" t="s">
        <v>57</v>
      </c>
      <c r="H9" s="10" t="n">
        <v>-96</v>
      </c>
      <c r="I9" s="11" t="s">
        <v>63</v>
      </c>
      <c r="J9" s="10"/>
    </row>
    <row r="10" customFormat="false" ht="15" hidden="false" customHeight="false" outlineLevel="0" collapsed="false">
      <c r="A10" s="10" t="s">
        <v>64</v>
      </c>
      <c r="B10" s="9" t="n">
        <v>46313</v>
      </c>
      <c r="C10" s="11" t="s">
        <v>65</v>
      </c>
      <c r="D10" s="12" t="n">
        <v>0.75</v>
      </c>
      <c r="E10" s="12" t="n">
        <v>0.751388888888889</v>
      </c>
      <c r="F10" s="10" t="n">
        <v>3</v>
      </c>
      <c r="G10" s="10" t="s">
        <v>18</v>
      </c>
      <c r="H10" s="10" t="n">
        <v>0</v>
      </c>
      <c r="I10" s="11" t="s">
        <v>66</v>
      </c>
      <c r="J10" s="10"/>
    </row>
    <row r="11" customFormat="false" ht="15" hidden="false" customHeight="false" outlineLevel="0" collapsed="false">
      <c r="A11" s="10" t="s">
        <v>64</v>
      </c>
      <c r="B11" s="9" t="n">
        <v>46313</v>
      </c>
      <c r="C11" s="11" t="s">
        <v>67</v>
      </c>
      <c r="D11" s="12" t="n">
        <v>0.751388888888889</v>
      </c>
      <c r="E11" s="12" t="n">
        <v>0.752777777777778</v>
      </c>
      <c r="F11" s="10" t="n">
        <v>3</v>
      </c>
      <c r="G11" s="10" t="s">
        <v>18</v>
      </c>
      <c r="H11" s="10" t="n">
        <v>0</v>
      </c>
      <c r="I11" s="11" t="s">
        <v>66</v>
      </c>
      <c r="J11" s="10"/>
    </row>
    <row r="12" customFormat="false" ht="15" hidden="false" customHeight="false" outlineLevel="0" collapsed="false">
      <c r="A12" s="10" t="s">
        <v>64</v>
      </c>
      <c r="B12" s="9" t="n">
        <v>46313</v>
      </c>
      <c r="C12" s="11" t="s">
        <v>68</v>
      </c>
      <c r="D12" s="12" t="n">
        <v>0.752777777777778</v>
      </c>
      <c r="E12" s="12" t="n">
        <v>0.754861111111111</v>
      </c>
      <c r="F12" s="10" t="n">
        <v>3</v>
      </c>
      <c r="G12" s="10" t="s">
        <v>18</v>
      </c>
      <c r="H12" s="10" t="n">
        <v>0</v>
      </c>
      <c r="I12" s="11" t="s">
        <v>66</v>
      </c>
      <c r="J12" s="10"/>
    </row>
    <row r="13" customFormat="false" ht="15" hidden="false" customHeight="false" outlineLevel="0" collapsed="false">
      <c r="A13" s="10" t="s">
        <v>69</v>
      </c>
      <c r="B13" s="9" t="n">
        <v>46315</v>
      </c>
      <c r="C13" s="11" t="s">
        <v>70</v>
      </c>
      <c r="D13" s="12" t="n">
        <v>0.756944444444444</v>
      </c>
      <c r="E13" s="12" t="n">
        <v>0.760416666666667</v>
      </c>
      <c r="F13" s="10" t="n">
        <v>3</v>
      </c>
      <c r="G13" s="10" t="s">
        <v>71</v>
      </c>
      <c r="H13" s="10" t="n">
        <v>0</v>
      </c>
      <c r="I13" s="11" t="s">
        <v>72</v>
      </c>
      <c r="J13" s="10"/>
    </row>
    <row r="14" customFormat="false" ht="15" hidden="false" customHeight="false" outlineLevel="0" collapsed="false">
      <c r="A14" s="10" t="s">
        <v>69</v>
      </c>
      <c r="B14" s="9" t="n">
        <v>46315</v>
      </c>
      <c r="C14" s="11" t="s">
        <v>73</v>
      </c>
      <c r="D14" s="12" t="n">
        <v>0.760416666666667</v>
      </c>
      <c r="E14" s="12" t="n">
        <v>0.7625</v>
      </c>
      <c r="F14" s="10" t="n">
        <v>3</v>
      </c>
      <c r="G14" s="10" t="s">
        <v>71</v>
      </c>
      <c r="H14" s="10" t="n">
        <v>0</v>
      </c>
      <c r="I14" s="11" t="s">
        <v>72</v>
      </c>
      <c r="J14" s="10"/>
    </row>
    <row r="15" customFormat="false" ht="15" hidden="false" customHeight="false" outlineLevel="0" collapsed="false">
      <c r="A15" s="10" t="s">
        <v>69</v>
      </c>
      <c r="B15" s="9" t="n">
        <v>46315</v>
      </c>
      <c r="C15" s="11" t="s">
        <v>74</v>
      </c>
      <c r="D15" s="12" t="n">
        <v>0.416666666666667</v>
      </c>
      <c r="E15" s="12" t="n">
        <v>0.46875</v>
      </c>
      <c r="F15" s="10" t="n">
        <v>2</v>
      </c>
      <c r="G15" s="10" t="s">
        <v>71</v>
      </c>
      <c r="H15" s="10" t="n">
        <v>0</v>
      </c>
      <c r="I15" s="11" t="s">
        <v>75</v>
      </c>
      <c r="J15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2026-10-27T11:12:23Z</dcterms:created>
  <dc:creator>openpyxl</dc:creator>
  <dc:description/>
  <dc:language>en-US</dc:language>
  <cp:lastModifiedBy/>
  <dcterms:modified xsi:type="dcterms:W3CDTF">2026-10-27T11:12:23Z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