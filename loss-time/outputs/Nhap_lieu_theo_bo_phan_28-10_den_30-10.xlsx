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mbly" sheetId="1" state="visible" r:id="rId3"/>
    <sheet name="Machining" sheetId="2" state="visible" r:id="rId4"/>
    <sheet name="Raw Cutt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<sst xmlns="http://schemas.openxmlformats.org/spreadsheetml/2006/main" count="504" uniqueCount="65">
  <si>
    <t xml:space="preserve">BẢNG NHẬP LIỆU - ASSEMBLY</t>
  </si>
  <si>
    <t xml:space="preserve">Thứ tự cố định: theo ngày, trong mỗi ngày theo mã P20, P26, P22, A2. Nhập đúng thứ tự cột như form: LossTime Code | Notes | Process | Dept In Charge | From | To | Worker Qty. Nhập xong dòng nào thì đánh dấu X cột "Đã nhập".</t>
  </si>
  <si>
    <t xml:space="preserve">Ngày (Loss Date)</t>
  </si>
  <si>
    <t xml:space="preserve">LossTime Code</t>
  </si>
  <si>
    <t xml:space="preserve">Notes</t>
  </si>
  <si>
    <t xml:space="preserve">Process</t>
  </si>
  <si>
    <t xml:space="preserve">Dept In Charge</t>
  </si>
  <si>
    <t xml:space="preserve">From</t>
  </si>
  <si>
    <t xml:space="preserve">To</t>
  </si>
  <si>
    <t xml:space="preserve">Worker Qty</t>
  </si>
  <si>
    <t xml:space="preserve">Giờ công (tham khảo)</t>
  </si>
  <si>
    <t xml:space="preserve">Đã nhập</t>
  </si>
  <si>
    <t xml:space="preserve">Thứ Tư 28/10/2026: 12 dòng</t>
  </si>
  <si>
    <t xml:space="preserve">P20</t>
  </si>
  <si>
    <t xml:space="preserve">Quét nhà toàn xưởng khu vực ASSY</t>
  </si>
  <si>
    <t xml:space="preserve">Assembly</t>
  </si>
  <si>
    <t xml:space="preserve">ASSEMBLY</t>
  </si>
  <si>
    <t xml:space="preserve">P26</t>
  </si>
  <si>
    <t xml:space="preserve">Báo output- sửa máy- giao nhận vật tư</t>
  </si>
  <si>
    <t xml:space="preserve">Giao nhận HW- phát HW cho Line sx</t>
  </si>
  <si>
    <t xml:space="preserve">P22</t>
  </si>
  <si>
    <t xml:space="preserve">Đào tạo công nhân mới</t>
  </si>
  <si>
    <t xml:space="preserve">HR/ HSE</t>
  </si>
  <si>
    <t xml:space="preserve">A2</t>
  </si>
  <si>
    <t xml:space="preserve">HC mới- 50% hiệu suất- 2 tuần-15/10</t>
  </si>
  <si>
    <t xml:space="preserve">HC mới- 50% hiệu suất- 2 tuần-16/10</t>
  </si>
  <si>
    <t xml:space="preserve">HC mới- 50% hiệu suất- 2 tuần-19/10</t>
  </si>
  <si>
    <t xml:space="preserve">HC mới- 50% hiệu suất- 2 tuần-20/10</t>
  </si>
  <si>
    <t xml:space="preserve">HC mới- 50% hiệu suất- 2 tuần-21/10</t>
  </si>
  <si>
    <t xml:space="preserve">HC mới- 50% hiệu suất- 2 tuần-22/10</t>
  </si>
  <si>
    <t xml:space="preserve">HC mới- 50% hiệu suất- 2 tuần-26/10</t>
  </si>
  <si>
    <t xml:space="preserve">HC mới- 50% hiệu suất- 2 tuần-27/10</t>
  </si>
  <si>
    <t xml:space="preserve">Thứ Năm 29/10/2026: 11 dòng</t>
  </si>
  <si>
    <t xml:space="preserve">HC mới- 50% hiệu suất- 2 tuần-28/10</t>
  </si>
  <si>
    <t xml:space="preserve">Thứ Sáu 30/10/2026: 10 dòng</t>
  </si>
  <si>
    <t xml:space="preserve">Tổng</t>
  </si>
  <si>
    <t xml:space="preserve">BẢNG NHẬP LIỆU - MACHINING</t>
  </si>
  <si>
    <t xml:space="preserve">Thứ Tư 28/10/2026: 13 dòng</t>
  </si>
  <si>
    <t xml:space="preserve">Vệ sinh khu vực máy móc MAC FINAL</t>
  </si>
  <si>
    <t xml:space="preserve">Machining</t>
  </si>
  <si>
    <t xml:space="preserve">MACHINING</t>
  </si>
  <si>
    <t xml:space="preserve">Vệ sinh khu vực máy móc PRE MAC</t>
  </si>
  <si>
    <t xml:space="preserve">Ghi nhận hàng giao kho</t>
  </si>
  <si>
    <t xml:space="preserve">Giao nhận hàng hộc kéo</t>
  </si>
  <si>
    <t xml:space="preserve">Shop Floor data MAC FINAL</t>
  </si>
  <si>
    <t xml:space="preserve">Shop Floor data- STOCK ROOM</t>
  </si>
  <si>
    <t xml:space="preserve">Theo hàng pilot -hàng test-spo-subcon-NCR</t>
  </si>
  <si>
    <t xml:space="preserve">quét nhà toàn xưởng khu vực ASSY</t>
  </si>
  <si>
    <t xml:space="preserve">Thứ Năm 29/10/2026: 13 dòng</t>
  </si>
  <si>
    <t xml:space="preserve">Thứ Sáu 30/10/2026: 13 dòng</t>
  </si>
  <si>
    <t xml:space="preserve">BẢNG NHẬP LIỆU - RAW CUTTING</t>
  </si>
  <si>
    <t xml:space="preserve">Thứ Tư 28/10/2026: 14 dòng</t>
  </si>
  <si>
    <t xml:space="preserve">Vệ sinh khu vực máy móc RC PANEL</t>
  </si>
  <si>
    <t xml:space="preserve">Raw Cutting</t>
  </si>
  <si>
    <t xml:space="preserve">RAW CUTTING</t>
  </si>
  <si>
    <t xml:space="preserve">Vệ sinh khu vực máy móc RC WOOD</t>
  </si>
  <si>
    <t xml:space="preserve">Kiểm hàng chất lượng vào kho</t>
  </si>
  <si>
    <t xml:space="preserve">Lựa hàng tinh giao mac- gỗ đẹp xấu</t>
  </si>
  <si>
    <t xml:space="preserve">Nhận hàng gỗ đầu vào từ RC</t>
  </si>
  <si>
    <t xml:space="preserve">Nhận venner cho ép nóng</t>
  </si>
  <si>
    <t xml:space="preserve">Shop Floor data RC PANEL</t>
  </si>
  <si>
    <t xml:space="preserve">Theo dõi Hàng venner làm xong</t>
  </si>
  <si>
    <t xml:space="preserve">HC mới- 50% hiệu suất- 2 tuần-23/10</t>
  </si>
  <si>
    <t xml:space="preserve">Thứ Năm 29/10/2026: 14 dòng</t>
  </si>
  <si>
    <t xml:space="preserve">Thứ Sáu 30/10/2026: 14 dòng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</si>
</sst>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dd/mm/yyyy"/>
    <numFmt numFmtId="167" formatCode="hh:mm"/>
    <numFmt numFmtId="168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D9D9D9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12</v>
      </c>
      <c r="B5" s="5"/>
      <c r="C5" s="5"/>
      <c r="D5" s="5"/>
      <c r="E5" s="5"/>
      <c r="F5" s="5"/>
      <c r="G5" s="5"/>
      <c r="H5" s="5"/>
      <c r="I5" s="6" t="n">
        <f aca="false">SUM(I6:I17)</f>
        <v>160.5</v>
      </c>
      <c r="J5" s="5"/>
    </row>
    <row r="6" customFormat="false" ht="15" hidden="false" customHeight="false" outlineLevel="0" collapsed="false">
      <c r="A6" s="7" t="n">
        <v>46323</v>
      </c>
      <c r="B6" s="8" t="s">
        <v>13</v>
      </c>
      <c r="C6" s="9" t="s">
        <v>14</v>
      </c>
      <c r="D6" s="8" t="s">
        <v>15</v>
      </c>
      <c r="E6" s="8" t="s">
        <v>16</v>
      </c>
      <c r="F6" s="10" t="n">
        <v>0.3125</v>
      </c>
      <c r="G6" s="10" t="n">
        <v>0.833333333333333</v>
      </c>
      <c r="H6" s="8" t="n">
        <v>2</v>
      </c>
      <c r="I6" s="11" t="n">
        <f aca="false">IF(H6="","",(G6-F6)*24*H6)</f>
        <v>25</v>
      </c>
      <c r="J6" s="8"/>
    </row>
    <row r="7" customFormat="false" ht="15" hidden="false" customHeight="false" outlineLevel="0" collapsed="false">
      <c r="A7" s="7" t="n">
        <v>46323</v>
      </c>
      <c r="B7" s="8" t="s">
        <v>17</v>
      </c>
      <c r="C7" s="9" t="s">
        <v>18</v>
      </c>
      <c r="D7" s="8" t="s">
        <v>15</v>
      </c>
      <c r="E7" s="8" t="s">
        <v>16</v>
      </c>
      <c r="F7" s="10" t="n">
        <v>0.3125</v>
      </c>
      <c r="G7" s="10" t="n">
        <v>0.833333333333333</v>
      </c>
      <c r="H7" s="8" t="n">
        <v>1</v>
      </c>
      <c r="I7" s="11" t="n">
        <f aca="false">IF(H7="","",(G7-F7)*24*H7)</f>
        <v>12.5</v>
      </c>
      <c r="J7" s="8"/>
    </row>
    <row r="8" customFormat="false" ht="15" hidden="false" customHeight="false" outlineLevel="0" collapsed="false">
      <c r="A8" s="7" t="n">
        <v>46323</v>
      </c>
      <c r="B8" s="8" t="s">
        <v>17</v>
      </c>
      <c r="C8" s="9" t="s">
        <v>19</v>
      </c>
      <c r="D8" s="8" t="s">
        <v>15</v>
      </c>
      <c r="E8" s="8" t="s">
        <v>16</v>
      </c>
      <c r="F8" s="10" t="n">
        <v>0.3125</v>
      </c>
      <c r="G8" s="10" t="n">
        <v>0.833333333333333</v>
      </c>
      <c r="H8" s="8" t="n">
        <v>1</v>
      </c>
      <c r="I8" s="11" t="n">
        <f aca="false">IF(H8="","",(G8-F8)*24*H8)</f>
        <v>12.5</v>
      </c>
      <c r="J8" s="8"/>
    </row>
    <row r="9" customFormat="false" ht="15" hidden="false" customHeight="false" outlineLevel="0" collapsed="false">
      <c r="A9" s="12" t="n">
        <v>46323</v>
      </c>
      <c r="B9" s="13" t="s">
        <v>20</v>
      </c>
      <c r="C9" s="14" t="s">
        <v>21</v>
      </c>
      <c r="D9" s="13" t="s">
        <v>15</v>
      </c>
      <c r="E9" s="13" t="s">
        <v>22</v>
      </c>
      <c r="F9" s="15" t="n">
        <v>0.333333333333333</v>
      </c>
      <c r="G9" s="15" t="n">
        <v>0.666666666666667</v>
      </c>
      <c r="H9" s="13" t="n">
        <v>2</v>
      </c>
      <c r="I9" s="16" t="n">
        <f aca="false">IF(H9="","",(G9-F9)*24*H9)</f>
        <v>16</v>
      </c>
      <c r="J9" s="13"/>
    </row>
    <row r="10" customFormat="false" ht="15" hidden="false" customHeight="false" outlineLevel="0" collapsed="false">
      <c r="A10" s="12" t="n">
        <v>46323</v>
      </c>
      <c r="B10" s="13" t="s">
        <v>23</v>
      </c>
      <c r="C10" s="14" t="s">
        <v>24</v>
      </c>
      <c r="D10" s="13" t="s">
        <v>15</v>
      </c>
      <c r="E10" s="13" t="s">
        <v>22</v>
      </c>
      <c r="F10" s="15" t="n">
        <v>0.3125</v>
      </c>
      <c r="G10" s="15" t="n">
        <v>0.5</v>
      </c>
      <c r="H10" s="13" t="n">
        <v>4</v>
      </c>
      <c r="I10" s="16" t="n">
        <f aca="false">IF(H10="","",(G10-F10)*24*H10)</f>
        <v>18</v>
      </c>
      <c r="J10" s="13"/>
    </row>
    <row r="11" customFormat="false" ht="15" hidden="false" customHeight="false" outlineLevel="0" collapsed="false">
      <c r="A11" s="12" t="n">
        <v>46323</v>
      </c>
      <c r="B11" s="13" t="s">
        <v>23</v>
      </c>
      <c r="C11" s="14" t="s">
        <v>25</v>
      </c>
      <c r="D11" s="13" t="s">
        <v>15</v>
      </c>
      <c r="E11" s="13" t="s">
        <v>22</v>
      </c>
      <c r="F11" s="15" t="n">
        <v>0.3125</v>
      </c>
      <c r="G11" s="15" t="n">
        <v>0.5</v>
      </c>
      <c r="H11" s="13" t="n">
        <v>1</v>
      </c>
      <c r="I11" s="16" t="n">
        <f aca="false">IF(H11="","",(G11-F11)*24*H11)</f>
        <v>4.5</v>
      </c>
      <c r="J11" s="13"/>
    </row>
    <row r="12" customFormat="false" ht="15" hidden="false" customHeight="false" outlineLevel="0" collapsed="false">
      <c r="A12" s="12" t="n">
        <v>46323</v>
      </c>
      <c r="B12" s="13" t="s">
        <v>23</v>
      </c>
      <c r="C12" s="14" t="s">
        <v>26</v>
      </c>
      <c r="D12" s="13" t="s">
        <v>15</v>
      </c>
      <c r="E12" s="13" t="s">
        <v>22</v>
      </c>
      <c r="F12" s="15" t="n">
        <v>0.3125</v>
      </c>
      <c r="G12" s="15" t="n">
        <v>0.5</v>
      </c>
      <c r="H12" s="13" t="n">
        <v>2</v>
      </c>
      <c r="I12" s="16" t="n">
        <f aca="false">IF(H12="","",(G12-F12)*24*H12)</f>
        <v>9</v>
      </c>
      <c r="J12" s="13"/>
    </row>
    <row r="13" customFormat="false" ht="15" hidden="false" customHeight="false" outlineLevel="0" collapsed="false">
      <c r="A13" s="12" t="n">
        <v>46323</v>
      </c>
      <c r="B13" s="13" t="s">
        <v>23</v>
      </c>
      <c r="C13" s="14" t="s">
        <v>27</v>
      </c>
      <c r="D13" s="13" t="s">
        <v>15</v>
      </c>
      <c r="E13" s="13" t="s">
        <v>22</v>
      </c>
      <c r="F13" s="15" t="n">
        <v>0.3125</v>
      </c>
      <c r="G13" s="15" t="n">
        <v>0.5</v>
      </c>
      <c r="H13" s="13" t="n">
        <v>4</v>
      </c>
      <c r="I13" s="16" t="n">
        <f aca="false">IF(H13="","",(G13-F13)*24*H13)</f>
        <v>18</v>
      </c>
      <c r="J13" s="13"/>
    </row>
    <row r="14" customFormat="false" ht="15" hidden="false" customHeight="false" outlineLevel="0" collapsed="false">
      <c r="A14" s="12" t="n">
        <v>46323</v>
      </c>
      <c r="B14" s="13" t="s">
        <v>23</v>
      </c>
      <c r="C14" s="14" t="s">
        <v>28</v>
      </c>
      <c r="D14" s="13" t="s">
        <v>15</v>
      </c>
      <c r="E14" s="13" t="s">
        <v>22</v>
      </c>
      <c r="F14" s="15" t="n">
        <v>0.3125</v>
      </c>
      <c r="G14" s="15" t="n">
        <v>0.5</v>
      </c>
      <c r="H14" s="13" t="n">
        <v>2</v>
      </c>
      <c r="I14" s="16" t="n">
        <f aca="false">IF(H14="","",(G14-F14)*24*H14)</f>
        <v>9</v>
      </c>
      <c r="J14" s="13"/>
    </row>
    <row r="15" customFormat="false" ht="15" hidden="false" customHeight="false" outlineLevel="0" collapsed="false">
      <c r="A15" s="12" t="n">
        <v>46323</v>
      </c>
      <c r="B15" s="13" t="s">
        <v>23</v>
      </c>
      <c r="C15" s="14" t="s">
        <v>29</v>
      </c>
      <c r="D15" s="13" t="s">
        <v>15</v>
      </c>
      <c r="E15" s="13" t="s">
        <v>22</v>
      </c>
      <c r="F15" s="15" t="n">
        <v>0.3125</v>
      </c>
      <c r="G15" s="15" t="n">
        <v>0.5</v>
      </c>
      <c r="H15" s="13" t="n">
        <v>2</v>
      </c>
      <c r="I15" s="16" t="n">
        <f aca="false">IF(H15="","",(G15-F15)*24*H15)</f>
        <v>9</v>
      </c>
      <c r="J15" s="13"/>
    </row>
    <row r="16" customFormat="false" ht="15" hidden="false" customHeight="false" outlineLevel="0" collapsed="false">
      <c r="A16" s="12" t="n">
        <v>46323</v>
      </c>
      <c r="B16" s="13" t="s">
        <v>23</v>
      </c>
      <c r="C16" s="14" t="s">
        <v>30</v>
      </c>
      <c r="D16" s="13" t="s">
        <v>15</v>
      </c>
      <c r="E16" s="13" t="s">
        <v>22</v>
      </c>
      <c r="F16" s="15" t="n">
        <v>0.3125</v>
      </c>
      <c r="G16" s="15" t="n">
        <v>0.5</v>
      </c>
      <c r="H16" s="13" t="n">
        <v>2</v>
      </c>
      <c r="I16" s="16" t="n">
        <f aca="false">IF(H16="","",(G16-F16)*24*H16)</f>
        <v>9</v>
      </c>
      <c r="J16" s="13"/>
    </row>
    <row r="17" customFormat="false" ht="15" hidden="false" customHeight="false" outlineLevel="0" collapsed="false">
      <c r="A17" s="12" t="n">
        <v>46323</v>
      </c>
      <c r="B17" s="13" t="s">
        <v>23</v>
      </c>
      <c r="C17" s="14" t="s">
        <v>31</v>
      </c>
      <c r="D17" s="13" t="s">
        <v>15</v>
      </c>
      <c r="E17" s="13" t="s">
        <v>22</v>
      </c>
      <c r="F17" s="15" t="n">
        <v>0.3125</v>
      </c>
      <c r="G17" s="15" t="n">
        <v>0.5</v>
      </c>
      <c r="H17" s="13" t="n">
        <v>4</v>
      </c>
      <c r="I17" s="16" t="n">
        <f aca="false">IF(H17="","",(G17-F17)*24*H17)</f>
        <v>18</v>
      </c>
      <c r="J17" s="13"/>
    </row>
    <row r="19" customFormat="false" ht="15" hidden="false" customHeight="false" outlineLevel="0" collapsed="false">
      <c r="A19" s="5" t="s">
        <v>32</v>
      </c>
      <c r="B19" s="5"/>
      <c r="C19" s="5"/>
      <c r="D19" s="5"/>
      <c r="E19" s="5"/>
      <c r="F19" s="5"/>
      <c r="G19" s="5"/>
      <c r="H19" s="5"/>
      <c r="I19" s="6" t="n">
        <f aca="false">SUM(I20:I30)</f>
        <v>135.5</v>
      </c>
      <c r="J19" s="5"/>
    </row>
    <row r="20" customFormat="false" ht="15" hidden="false" customHeight="false" outlineLevel="0" collapsed="false">
      <c r="A20" s="7" t="n">
        <v>46324</v>
      </c>
      <c r="B20" s="8" t="s">
        <v>13</v>
      </c>
      <c r="C20" s="9" t="s">
        <v>14</v>
      </c>
      <c r="D20" s="8" t="s">
        <v>15</v>
      </c>
      <c r="E20" s="8" t="s">
        <v>16</v>
      </c>
      <c r="F20" s="10" t="n">
        <v>0.3125</v>
      </c>
      <c r="G20" s="10" t="n">
        <v>0.833333333333333</v>
      </c>
      <c r="H20" s="8" t="n">
        <v>2</v>
      </c>
      <c r="I20" s="11" t="n">
        <f aca="false">IF(H20="","",(G20-F20)*24*H20)</f>
        <v>25</v>
      </c>
      <c r="J20" s="8"/>
    </row>
    <row r="21" customFormat="false" ht="15" hidden="false" customHeight="false" outlineLevel="0" collapsed="false">
      <c r="A21" s="7" t="n">
        <v>46324</v>
      </c>
      <c r="B21" s="8" t="s">
        <v>17</v>
      </c>
      <c r="C21" s="9" t="s">
        <v>18</v>
      </c>
      <c r="D21" s="8" t="s">
        <v>15</v>
      </c>
      <c r="E21" s="8" t="s">
        <v>16</v>
      </c>
      <c r="F21" s="10" t="n">
        <v>0.3125</v>
      </c>
      <c r="G21" s="10" t="n">
        <v>0.833333333333333</v>
      </c>
      <c r="H21" s="8" t="n">
        <v>1</v>
      </c>
      <c r="I21" s="11" t="n">
        <f aca="false">IF(H21="","",(G21-F21)*24*H21)</f>
        <v>12.5</v>
      </c>
      <c r="J21" s="8"/>
    </row>
    <row r="22" customFormat="false" ht="15" hidden="false" customHeight="false" outlineLevel="0" collapsed="false">
      <c r="A22" s="7" t="n">
        <v>46324</v>
      </c>
      <c r="B22" s="8" t="s">
        <v>17</v>
      </c>
      <c r="C22" s="9" t="s">
        <v>19</v>
      </c>
      <c r="D22" s="8" t="s">
        <v>15</v>
      </c>
      <c r="E22" s="8" t="s">
        <v>16</v>
      </c>
      <c r="F22" s="10" t="n">
        <v>0.3125</v>
      </c>
      <c r="G22" s="10" t="n">
        <v>0.833333333333333</v>
      </c>
      <c r="H22" s="8" t="n">
        <v>1</v>
      </c>
      <c r="I22" s="11" t="n">
        <f aca="false">IF(H22="","",(G22-F22)*24*H22)</f>
        <v>12.5</v>
      </c>
      <c r="J22" s="8"/>
    </row>
    <row r="23" customFormat="false" ht="15" hidden="false" customHeight="false" outlineLevel="0" collapsed="false">
      <c r="A23" s="12" t="n">
        <v>46324</v>
      </c>
      <c r="B23" s="13" t="s">
        <v>23</v>
      </c>
      <c r="C23" s="14" t="s">
        <v>25</v>
      </c>
      <c r="D23" s="13" t="s">
        <v>15</v>
      </c>
      <c r="E23" s="13" t="s">
        <v>22</v>
      </c>
      <c r="F23" s="15" t="n">
        <v>0.3125</v>
      </c>
      <c r="G23" s="15" t="n">
        <v>0.5</v>
      </c>
      <c r="H23" s="13" t="n">
        <v>1</v>
      </c>
      <c r="I23" s="16" t="n">
        <f aca="false">IF(H23="","",(G23-F23)*24*H23)</f>
        <v>4.5</v>
      </c>
      <c r="J23" s="13"/>
    </row>
    <row r="24" customFormat="false" ht="15" hidden="false" customHeight="false" outlineLevel="0" collapsed="false">
      <c r="A24" s="12" t="n">
        <v>46324</v>
      </c>
      <c r="B24" s="13" t="s">
        <v>23</v>
      </c>
      <c r="C24" s="14" t="s">
        <v>26</v>
      </c>
      <c r="D24" s="13" t="s">
        <v>15</v>
      </c>
      <c r="E24" s="13" t="s">
        <v>22</v>
      </c>
      <c r="F24" s="15" t="n">
        <v>0.3125</v>
      </c>
      <c r="G24" s="15" t="n">
        <v>0.5</v>
      </c>
      <c r="H24" s="13" t="n">
        <v>2</v>
      </c>
      <c r="I24" s="16" t="n">
        <f aca="false">IF(H24="","",(G24-F24)*24*H24)</f>
        <v>9</v>
      </c>
      <c r="J24" s="13"/>
    </row>
    <row r="25" customFormat="false" ht="15" hidden="false" customHeight="false" outlineLevel="0" collapsed="false">
      <c r="A25" s="12" t="n">
        <v>46324</v>
      </c>
      <c r="B25" s="13" t="s">
        <v>23</v>
      </c>
      <c r="C25" s="14" t="s">
        <v>27</v>
      </c>
      <c r="D25" s="13" t="s">
        <v>15</v>
      </c>
      <c r="E25" s="13" t="s">
        <v>22</v>
      </c>
      <c r="F25" s="15" t="n">
        <v>0.3125</v>
      </c>
      <c r="G25" s="15" t="n">
        <v>0.5</v>
      </c>
      <c r="H25" s="13" t="n">
        <v>4</v>
      </c>
      <c r="I25" s="16" t="n">
        <f aca="false">IF(H25="","",(G25-F25)*24*H25)</f>
        <v>18</v>
      </c>
      <c r="J25" s="13"/>
    </row>
    <row r="26" customFormat="false" ht="15" hidden="false" customHeight="false" outlineLevel="0" collapsed="false">
      <c r="A26" s="12" t="n">
        <v>46324</v>
      </c>
      <c r="B26" s="13" t="s">
        <v>23</v>
      </c>
      <c r="C26" s="14" t="s">
        <v>28</v>
      </c>
      <c r="D26" s="13" t="s">
        <v>15</v>
      </c>
      <c r="E26" s="13" t="s">
        <v>22</v>
      </c>
      <c r="F26" s="15" t="n">
        <v>0.3125</v>
      </c>
      <c r="G26" s="15" t="n">
        <v>0.5</v>
      </c>
      <c r="H26" s="13" t="n">
        <v>2</v>
      </c>
      <c r="I26" s="16" t="n">
        <f aca="false">IF(H26="","",(G26-F26)*24*H26)</f>
        <v>9</v>
      </c>
      <c r="J26" s="13"/>
    </row>
    <row r="27" customFormat="false" ht="15" hidden="false" customHeight="false" outlineLevel="0" collapsed="false">
      <c r="A27" s="12" t="n">
        <v>46324</v>
      </c>
      <c r="B27" s="13" t="s">
        <v>23</v>
      </c>
      <c r="C27" s="14" t="s">
        <v>29</v>
      </c>
      <c r="D27" s="13" t="s">
        <v>15</v>
      </c>
      <c r="E27" s="13" t="s">
        <v>22</v>
      </c>
      <c r="F27" s="15" t="n">
        <v>0.3125</v>
      </c>
      <c r="G27" s="15" t="n">
        <v>0.5</v>
      </c>
      <c r="H27" s="13" t="n">
        <v>2</v>
      </c>
      <c r="I27" s="16" t="n">
        <f aca="false">IF(H27="","",(G27-F27)*24*H27)</f>
        <v>9</v>
      </c>
      <c r="J27" s="13"/>
    </row>
    <row r="28" customFormat="false" ht="15" hidden="false" customHeight="false" outlineLevel="0" collapsed="false">
      <c r="A28" s="12" t="n">
        <v>46324</v>
      </c>
      <c r="B28" s="13" t="s">
        <v>23</v>
      </c>
      <c r="C28" s="14" t="s">
        <v>30</v>
      </c>
      <c r="D28" s="13" t="s">
        <v>15</v>
      </c>
      <c r="E28" s="13" t="s">
        <v>22</v>
      </c>
      <c r="F28" s="15" t="n">
        <v>0.3125</v>
      </c>
      <c r="G28" s="15" t="n">
        <v>0.5</v>
      </c>
      <c r="H28" s="13" t="n">
        <v>2</v>
      </c>
      <c r="I28" s="16" t="n">
        <f aca="false">IF(H28="","",(G28-F28)*24*H28)</f>
        <v>9</v>
      </c>
      <c r="J28" s="13"/>
    </row>
    <row r="29" customFormat="false" ht="15" hidden="false" customHeight="false" outlineLevel="0" collapsed="false">
      <c r="A29" s="12" t="n">
        <v>46324</v>
      </c>
      <c r="B29" s="13" t="s">
        <v>23</v>
      </c>
      <c r="C29" s="14" t="s">
        <v>31</v>
      </c>
      <c r="D29" s="13" t="s">
        <v>15</v>
      </c>
      <c r="E29" s="13" t="s">
        <v>22</v>
      </c>
      <c r="F29" s="15" t="n">
        <v>0.3125</v>
      </c>
      <c r="G29" s="15" t="n">
        <v>0.5</v>
      </c>
      <c r="H29" s="13" t="n">
        <v>4</v>
      </c>
      <c r="I29" s="16" t="n">
        <f aca="false">IF(H29="","",(G29-F29)*24*H29)</f>
        <v>18</v>
      </c>
      <c r="J29" s="13"/>
    </row>
    <row r="30" customFormat="false" ht="15" hidden="false" customHeight="false" outlineLevel="0" collapsed="false">
      <c r="A30" s="12" t="n">
        <v>46324</v>
      </c>
      <c r="B30" s="13" t="s">
        <v>23</v>
      </c>
      <c r="C30" s="14" t="s">
        <v>33</v>
      </c>
      <c r="D30" s="13" t="s">
        <v>15</v>
      </c>
      <c r="E30" s="13" t="s">
        <v>22</v>
      </c>
      <c r="F30" s="15" t="n">
        <v>0.3125</v>
      </c>
      <c r="G30" s="15" t="n">
        <v>0.5</v>
      </c>
      <c r="H30" s="13" t="n">
        <v>2</v>
      </c>
      <c r="I30" s="16" t="n">
        <f aca="false">IF(H30="","",(G30-F30)*24*H30)</f>
        <v>9</v>
      </c>
      <c r="J30" s="13"/>
    </row>
    <row r="32" customFormat="false" ht="15" hidden="false" customHeight="false" outlineLevel="0" collapsed="false">
      <c r="A32" s="5" t="s">
        <v>34</v>
      </c>
      <c r="B32" s="5"/>
      <c r="C32" s="5"/>
      <c r="D32" s="5"/>
      <c r="E32" s="5"/>
      <c r="F32" s="5"/>
      <c r="G32" s="5"/>
      <c r="H32" s="5"/>
      <c r="I32" s="6" t="n">
        <f aca="false">SUM(I33:I42)</f>
        <v>131</v>
      </c>
      <c r="J32" s="5"/>
    </row>
    <row r="33" customFormat="false" ht="15" hidden="false" customHeight="false" outlineLevel="0" collapsed="false">
      <c r="A33" s="7" t="n">
        <v>46325</v>
      </c>
      <c r="B33" s="8" t="s">
        <v>13</v>
      </c>
      <c r="C33" s="9" t="s">
        <v>14</v>
      </c>
      <c r="D33" s="8" t="s">
        <v>15</v>
      </c>
      <c r="E33" s="8" t="s">
        <v>16</v>
      </c>
      <c r="F33" s="10" t="n">
        <v>0.3125</v>
      </c>
      <c r="G33" s="10" t="n">
        <v>0.833333333333333</v>
      </c>
      <c r="H33" s="8" t="n">
        <v>2</v>
      </c>
      <c r="I33" s="11" t="n">
        <f aca="false">IF(H33="","",(G33-F33)*24*H33)</f>
        <v>25</v>
      </c>
      <c r="J33" s="8"/>
    </row>
    <row r="34" customFormat="false" ht="15" hidden="false" customHeight="false" outlineLevel="0" collapsed="false">
      <c r="A34" s="7" t="n">
        <v>46325</v>
      </c>
      <c r="B34" s="8" t="s">
        <v>17</v>
      </c>
      <c r="C34" s="9" t="s">
        <v>18</v>
      </c>
      <c r="D34" s="8" t="s">
        <v>15</v>
      </c>
      <c r="E34" s="8" t="s">
        <v>16</v>
      </c>
      <c r="F34" s="10" t="n">
        <v>0.3125</v>
      </c>
      <c r="G34" s="10" t="n">
        <v>0.833333333333333</v>
      </c>
      <c r="H34" s="8" t="n">
        <v>1</v>
      </c>
      <c r="I34" s="11" t="n">
        <f aca="false">IF(H34="","",(G34-F34)*24*H34)</f>
        <v>12.5</v>
      </c>
      <c r="J34" s="8"/>
    </row>
    <row r="35" customFormat="false" ht="15" hidden="false" customHeight="false" outlineLevel="0" collapsed="false">
      <c r="A35" s="7" t="n">
        <v>46325</v>
      </c>
      <c r="B35" s="8" t="s">
        <v>17</v>
      </c>
      <c r="C35" s="9" t="s">
        <v>19</v>
      </c>
      <c r="D35" s="8" t="s">
        <v>15</v>
      </c>
      <c r="E35" s="8" t="s">
        <v>16</v>
      </c>
      <c r="F35" s="10" t="n">
        <v>0.3125</v>
      </c>
      <c r="G35" s="10" t="n">
        <v>0.833333333333333</v>
      </c>
      <c r="H35" s="8" t="n">
        <v>1</v>
      </c>
      <c r="I35" s="11" t="n">
        <f aca="false">IF(H35="","",(G35-F35)*24*H35)</f>
        <v>12.5</v>
      </c>
      <c r="J35" s="8"/>
    </row>
    <row r="36" customFormat="false" ht="15" hidden="false" customHeight="false" outlineLevel="0" collapsed="false">
      <c r="A36" s="12" t="n">
        <v>46325</v>
      </c>
      <c r="B36" s="13" t="s">
        <v>23</v>
      </c>
      <c r="C36" s="14" t="s">
        <v>26</v>
      </c>
      <c r="D36" s="13" t="s">
        <v>15</v>
      </c>
      <c r="E36" s="13" t="s">
        <v>22</v>
      </c>
      <c r="F36" s="15" t="n">
        <v>0.3125</v>
      </c>
      <c r="G36" s="15" t="n">
        <v>0.5</v>
      </c>
      <c r="H36" s="13" t="n">
        <v>2</v>
      </c>
      <c r="I36" s="16" t="n">
        <f aca="false">IF(H36="","",(G36-F36)*24*H36)</f>
        <v>9</v>
      </c>
      <c r="J36" s="13"/>
    </row>
    <row r="37" customFormat="false" ht="15" hidden="false" customHeight="false" outlineLevel="0" collapsed="false">
      <c r="A37" s="12" t="n">
        <v>46325</v>
      </c>
      <c r="B37" s="13" t="s">
        <v>23</v>
      </c>
      <c r="C37" s="14" t="s">
        <v>27</v>
      </c>
      <c r="D37" s="13" t="s">
        <v>15</v>
      </c>
      <c r="E37" s="13" t="s">
        <v>22</v>
      </c>
      <c r="F37" s="15" t="n">
        <v>0.3125</v>
      </c>
      <c r="G37" s="15" t="n">
        <v>0.5</v>
      </c>
      <c r="H37" s="13" t="n">
        <v>4</v>
      </c>
      <c r="I37" s="16" t="n">
        <f aca="false">IF(H37="","",(G37-F37)*24*H37)</f>
        <v>18</v>
      </c>
      <c r="J37" s="13"/>
    </row>
    <row r="38" customFormat="false" ht="15" hidden="false" customHeight="false" outlineLevel="0" collapsed="false">
      <c r="A38" s="12" t="n">
        <v>46325</v>
      </c>
      <c r="B38" s="13" t="s">
        <v>23</v>
      </c>
      <c r="C38" s="14" t="s">
        <v>28</v>
      </c>
      <c r="D38" s="13" t="s">
        <v>15</v>
      </c>
      <c r="E38" s="13" t="s">
        <v>22</v>
      </c>
      <c r="F38" s="15" t="n">
        <v>0.3125</v>
      </c>
      <c r="G38" s="15" t="n">
        <v>0.5</v>
      </c>
      <c r="H38" s="13" t="n">
        <v>2</v>
      </c>
      <c r="I38" s="16" t="n">
        <f aca="false">IF(H38="","",(G38-F38)*24*H38)</f>
        <v>9</v>
      </c>
      <c r="J38" s="13"/>
    </row>
    <row r="39" customFormat="false" ht="15" hidden="false" customHeight="false" outlineLevel="0" collapsed="false">
      <c r="A39" s="12" t="n">
        <v>46325</v>
      </c>
      <c r="B39" s="13" t="s">
        <v>23</v>
      </c>
      <c r="C39" s="14" t="s">
        <v>29</v>
      </c>
      <c r="D39" s="13" t="s">
        <v>15</v>
      </c>
      <c r="E39" s="13" t="s">
        <v>22</v>
      </c>
      <c r="F39" s="15" t="n">
        <v>0.3125</v>
      </c>
      <c r="G39" s="15" t="n">
        <v>0.5</v>
      </c>
      <c r="H39" s="13" t="n">
        <v>2</v>
      </c>
      <c r="I39" s="16" t="n">
        <f aca="false">IF(H39="","",(G39-F39)*24*H39)</f>
        <v>9</v>
      </c>
      <c r="J39" s="13"/>
    </row>
    <row r="40" customFormat="false" ht="15" hidden="false" customHeight="false" outlineLevel="0" collapsed="false">
      <c r="A40" s="12" t="n">
        <v>46325</v>
      </c>
      <c r="B40" s="13" t="s">
        <v>23</v>
      </c>
      <c r="C40" s="14" t="s">
        <v>30</v>
      </c>
      <c r="D40" s="13" t="s">
        <v>15</v>
      </c>
      <c r="E40" s="13" t="s">
        <v>22</v>
      </c>
      <c r="F40" s="15" t="n">
        <v>0.3125</v>
      </c>
      <c r="G40" s="15" t="n">
        <v>0.5</v>
      </c>
      <c r="H40" s="13" t="n">
        <v>2</v>
      </c>
      <c r="I40" s="16" t="n">
        <f aca="false">IF(H40="","",(G40-F40)*24*H40)</f>
        <v>9</v>
      </c>
      <c r="J40" s="13"/>
    </row>
    <row r="41" customFormat="false" ht="15" hidden="false" customHeight="false" outlineLevel="0" collapsed="false">
      <c r="A41" s="12" t="n">
        <v>46325</v>
      </c>
      <c r="B41" s="13" t="s">
        <v>23</v>
      </c>
      <c r="C41" s="14" t="s">
        <v>31</v>
      </c>
      <c r="D41" s="13" t="s">
        <v>15</v>
      </c>
      <c r="E41" s="13" t="s">
        <v>22</v>
      </c>
      <c r="F41" s="15" t="n">
        <v>0.3125</v>
      </c>
      <c r="G41" s="15" t="n">
        <v>0.5</v>
      </c>
      <c r="H41" s="13" t="n">
        <v>4</v>
      </c>
      <c r="I41" s="16" t="n">
        <f aca="false">IF(H41="","",(G41-F41)*24*H41)</f>
        <v>18</v>
      </c>
      <c r="J41" s="13"/>
    </row>
    <row r="42" customFormat="false" ht="15" hidden="false" customHeight="false" outlineLevel="0" collapsed="false">
      <c r="A42" s="12" t="n">
        <v>46325</v>
      </c>
      <c r="B42" s="13" t="s">
        <v>23</v>
      </c>
      <c r="C42" s="14" t="s">
        <v>33</v>
      </c>
      <c r="D42" s="13" t="s">
        <v>15</v>
      </c>
      <c r="E42" s="13" t="s">
        <v>22</v>
      </c>
      <c r="F42" s="15" t="n">
        <v>0.3125</v>
      </c>
      <c r="G42" s="15" t="n">
        <v>0.5</v>
      </c>
      <c r="H42" s="13" t="n">
        <v>2</v>
      </c>
      <c r="I42" s="16" t="n">
        <f aca="false">IF(H42="","",(G42-F42)*24*H42)</f>
        <v>9</v>
      </c>
      <c r="J42" s="13"/>
    </row>
    <row r="44" customFormat="false" ht="15" hidden="false" customHeight="false" outlineLevel="0" collapsed="false">
      <c r="H44" s="17" t="s">
        <v>35</v>
      </c>
      <c r="I44" s="18" t="n">
        <f aca="false">SUMIF(A5:A43,"&gt;0",I5:I43)</f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37</v>
      </c>
      <c r="B5" s="5"/>
      <c r="C5" s="5"/>
      <c r="D5" s="5"/>
      <c r="E5" s="5"/>
      <c r="F5" s="5"/>
      <c r="G5" s="5"/>
      <c r="H5" s="5"/>
      <c r="I5" s="6" t="n">
        <f aca="false">SUM(I6:I18)</f>
        <v>127.5</v>
      </c>
      <c r="J5" s="5"/>
    </row>
    <row r="6" customFormat="false" ht="15" hidden="false" customHeight="false" outlineLevel="0" collapsed="false">
      <c r="A6" s="7" t="n">
        <v>46323</v>
      </c>
      <c r="B6" s="8" t="s">
        <v>13</v>
      </c>
      <c r="C6" s="9" t="s">
        <v>38</v>
      </c>
      <c r="D6" s="8" t="s">
        <v>39</v>
      </c>
      <c r="E6" s="8" t="s">
        <v>40</v>
      </c>
      <c r="F6" s="10" t="n">
        <v>0.291666666666667</v>
      </c>
      <c r="G6" s="10" t="n">
        <v>0.3125</v>
      </c>
      <c r="H6" s="8" t="n">
        <v>7</v>
      </c>
      <c r="I6" s="11" t="n">
        <f aca="false">IF(H6="","",(G6-F6)*24*H6)</f>
        <v>3.5</v>
      </c>
      <c r="J6" s="8"/>
    </row>
    <row r="7" customFormat="false" ht="15" hidden="false" customHeight="false" outlineLevel="0" collapsed="false">
      <c r="A7" s="7" t="n">
        <v>46323</v>
      </c>
      <c r="B7" s="8" t="s">
        <v>13</v>
      </c>
      <c r="C7" s="9" t="s">
        <v>41</v>
      </c>
      <c r="D7" s="8" t="s">
        <v>39</v>
      </c>
      <c r="E7" s="8" t="s">
        <v>40</v>
      </c>
      <c r="F7" s="10" t="n">
        <v>0.291666666666667</v>
      </c>
      <c r="G7" s="10" t="n">
        <v>0.3125</v>
      </c>
      <c r="H7" s="8" t="n">
        <v>12</v>
      </c>
      <c r="I7" s="11" t="n">
        <f aca="false">IF(H7="","",(G7-F7)*24*H7)</f>
        <v>6</v>
      </c>
      <c r="J7" s="8"/>
    </row>
    <row r="8" customFormat="false" ht="15" hidden="false" customHeight="false" outlineLevel="0" collapsed="false">
      <c r="A8" s="7" t="n">
        <v>46323</v>
      </c>
      <c r="B8" s="8" t="s">
        <v>17</v>
      </c>
      <c r="C8" s="9" t="s">
        <v>42</v>
      </c>
      <c r="D8" s="8" t="s">
        <v>39</v>
      </c>
      <c r="E8" s="8" t="s">
        <v>40</v>
      </c>
      <c r="F8" s="10" t="n">
        <v>0.3125</v>
      </c>
      <c r="G8" s="10" t="n">
        <v>0.833333333333333</v>
      </c>
      <c r="H8" s="8" t="n">
        <v>1</v>
      </c>
      <c r="I8" s="11" t="n">
        <f aca="false">IF(H8="","",(G8-F8)*24*H8)</f>
        <v>12.5</v>
      </c>
      <c r="J8" s="8"/>
    </row>
    <row r="9" customFormat="false" ht="15" hidden="false" customHeight="false" outlineLevel="0" collapsed="false">
      <c r="A9" s="7" t="n">
        <v>46323</v>
      </c>
      <c r="B9" s="8" t="s">
        <v>17</v>
      </c>
      <c r="C9" s="9" t="s">
        <v>43</v>
      </c>
      <c r="D9" s="8" t="s">
        <v>39</v>
      </c>
      <c r="E9" s="8" t="s">
        <v>40</v>
      </c>
      <c r="F9" s="10" t="n">
        <v>0.3125</v>
      </c>
      <c r="G9" s="10" t="n">
        <v>0.833333333333333</v>
      </c>
      <c r="H9" s="8" t="n">
        <v>1</v>
      </c>
      <c r="I9" s="11" t="n">
        <f aca="false">IF(H9="","",(G9-F9)*24*H9)</f>
        <v>12.5</v>
      </c>
      <c r="J9" s="8"/>
    </row>
    <row r="10" customFormat="false" ht="15" hidden="false" customHeight="false" outlineLevel="0" collapsed="false">
      <c r="A10" s="7" t="n">
        <v>46323</v>
      </c>
      <c r="B10" s="8" t="s">
        <v>17</v>
      </c>
      <c r="C10" s="9" t="s">
        <v>44</v>
      </c>
      <c r="D10" s="8" t="s">
        <v>39</v>
      </c>
      <c r="E10" s="8" t="s">
        <v>40</v>
      </c>
      <c r="F10" s="10" t="n">
        <v>0.3125</v>
      </c>
      <c r="G10" s="10" t="n">
        <v>0.833333333333333</v>
      </c>
      <c r="H10" s="8" t="n">
        <v>1</v>
      </c>
      <c r="I10" s="11" t="n">
        <f aca="false">IF(H10="","",(G10-F10)*24*H10)</f>
        <v>12.5</v>
      </c>
      <c r="J10" s="8"/>
    </row>
    <row r="11" customFormat="false" ht="15" hidden="false" customHeight="false" outlineLevel="0" collapsed="false">
      <c r="A11" s="7" t="n">
        <v>46323</v>
      </c>
      <c r="B11" s="8" t="s">
        <v>17</v>
      </c>
      <c r="C11" s="9" t="s">
        <v>45</v>
      </c>
      <c r="D11" s="8" t="s">
        <v>39</v>
      </c>
      <c r="E11" s="8" t="s">
        <v>40</v>
      </c>
      <c r="F11" s="10" t="n">
        <v>0.3125</v>
      </c>
      <c r="G11" s="10" t="n">
        <v>0.833333333333333</v>
      </c>
      <c r="H11" s="8" t="n">
        <v>1</v>
      </c>
      <c r="I11" s="11" t="n">
        <f aca="false">IF(H11="","",(G11-F11)*24*H11)</f>
        <v>12.5</v>
      </c>
      <c r="J11" s="8"/>
    </row>
    <row r="12" customFormat="false" ht="15" hidden="false" customHeight="false" outlineLevel="0" collapsed="false">
      <c r="A12" s="7" t="n">
        <v>46323</v>
      </c>
      <c r="B12" s="8" t="s">
        <v>17</v>
      </c>
      <c r="C12" s="9" t="s">
        <v>46</v>
      </c>
      <c r="D12" s="8" t="s">
        <v>39</v>
      </c>
      <c r="E12" s="8" t="s">
        <v>40</v>
      </c>
      <c r="F12" s="10" t="n">
        <v>0.3125</v>
      </c>
      <c r="G12" s="10" t="n">
        <v>0.833333333333333</v>
      </c>
      <c r="H12" s="8" t="n">
        <v>1</v>
      </c>
      <c r="I12" s="11" t="n">
        <f aca="false">IF(H12="","",(G12-F12)*24*H12)</f>
        <v>12.5</v>
      </c>
      <c r="J12" s="8"/>
    </row>
    <row r="13" customFormat="false" ht="15" hidden="false" customHeight="false" outlineLevel="0" collapsed="false">
      <c r="A13" s="7" t="n">
        <v>46323</v>
      </c>
      <c r="B13" s="8" t="s">
        <v>17</v>
      </c>
      <c r="C13" s="9" t="s">
        <v>47</v>
      </c>
      <c r="D13" s="8" t="s">
        <v>39</v>
      </c>
      <c r="E13" s="8" t="s">
        <v>40</v>
      </c>
      <c r="F13" s="10" t="n">
        <v>0.3125</v>
      </c>
      <c r="G13" s="10" t="n">
        <v>0.833333333333333</v>
      </c>
      <c r="H13" s="8" t="n">
        <v>1</v>
      </c>
      <c r="I13" s="11" t="n">
        <f aca="false">IF(H13="","",(G13-F13)*24*H13)</f>
        <v>12.5</v>
      </c>
      <c r="J13" s="8"/>
    </row>
    <row r="14" customFormat="false" ht="15" hidden="false" customHeight="false" outlineLevel="0" collapsed="false">
      <c r="A14" s="12" t="n">
        <v>46323</v>
      </c>
      <c r="B14" s="13" t="s">
        <v>20</v>
      </c>
      <c r="C14" s="14" t="s">
        <v>21</v>
      </c>
      <c r="D14" s="13" t="s">
        <v>39</v>
      </c>
      <c r="E14" s="13" t="s">
        <v>22</v>
      </c>
      <c r="F14" s="15" t="n">
        <v>0.333333333333333</v>
      </c>
      <c r="G14" s="15" t="n">
        <v>0.666666666666667</v>
      </c>
      <c r="H14" s="13" t="n">
        <v>2</v>
      </c>
      <c r="I14" s="16" t="n">
        <f aca="false">IF(H14="","",(G14-F14)*24*H14)</f>
        <v>16</v>
      </c>
      <c r="J14" s="13"/>
    </row>
    <row r="15" customFormat="false" ht="15" hidden="false" customHeight="false" outlineLevel="0" collapsed="false">
      <c r="A15" s="12" t="n">
        <v>46323</v>
      </c>
      <c r="B15" s="13" t="s">
        <v>23</v>
      </c>
      <c r="C15" s="14" t="s">
        <v>26</v>
      </c>
      <c r="D15" s="13" t="s">
        <v>39</v>
      </c>
      <c r="E15" s="13" t="s">
        <v>22</v>
      </c>
      <c r="F15" s="15" t="n">
        <v>0.3125</v>
      </c>
      <c r="G15" s="15" t="n">
        <v>0.5</v>
      </c>
      <c r="H15" s="13" t="n">
        <v>1</v>
      </c>
      <c r="I15" s="16" t="n">
        <f aca="false">IF(H15="","",(G15-F15)*24*H15)</f>
        <v>4.5</v>
      </c>
      <c r="J15" s="13"/>
    </row>
    <row r="16" customFormat="false" ht="15" hidden="false" customHeight="false" outlineLevel="0" collapsed="false">
      <c r="A16" s="12" t="n">
        <v>46323</v>
      </c>
      <c r="B16" s="13" t="s">
        <v>23</v>
      </c>
      <c r="C16" s="14" t="s">
        <v>27</v>
      </c>
      <c r="D16" s="13" t="s">
        <v>39</v>
      </c>
      <c r="E16" s="13" t="s">
        <v>22</v>
      </c>
      <c r="F16" s="15" t="n">
        <v>0.3125</v>
      </c>
      <c r="G16" s="15" t="n">
        <v>0.5</v>
      </c>
      <c r="H16" s="13" t="n">
        <v>2</v>
      </c>
      <c r="I16" s="16" t="n">
        <f aca="false">IF(H16="","",(G16-F16)*24*H16)</f>
        <v>9</v>
      </c>
      <c r="J16" s="13"/>
    </row>
    <row r="17" customFormat="false" ht="15" hidden="false" customHeight="false" outlineLevel="0" collapsed="false">
      <c r="A17" s="12" t="n">
        <v>46323</v>
      </c>
      <c r="B17" s="13" t="s">
        <v>23</v>
      </c>
      <c r="C17" s="14" t="s">
        <v>28</v>
      </c>
      <c r="D17" s="13" t="s">
        <v>39</v>
      </c>
      <c r="E17" s="13" t="s">
        <v>22</v>
      </c>
      <c r="F17" s="15" t="n">
        <v>0.3125</v>
      </c>
      <c r="G17" s="15" t="n">
        <v>0.5</v>
      </c>
      <c r="H17" s="13" t="n">
        <v>2</v>
      </c>
      <c r="I17" s="16" t="n">
        <f aca="false">IF(H17="","",(G17-F17)*24*H17)</f>
        <v>9</v>
      </c>
      <c r="J17" s="13"/>
    </row>
    <row r="18" customFormat="false" ht="15" hidden="false" customHeight="false" outlineLevel="0" collapsed="false">
      <c r="A18" s="12" t="n">
        <v>46323</v>
      </c>
      <c r="B18" s="13" t="s">
        <v>23</v>
      </c>
      <c r="C18" s="14" t="s">
        <v>29</v>
      </c>
      <c r="D18" s="13" t="s">
        <v>39</v>
      </c>
      <c r="E18" s="13" t="s">
        <v>22</v>
      </c>
      <c r="F18" s="15" t="n">
        <v>0.3125</v>
      </c>
      <c r="G18" s="15" t="n">
        <v>0.5</v>
      </c>
      <c r="H18" s="13" t="n">
        <v>1</v>
      </c>
      <c r="I18" s="16" t="n">
        <f aca="false">IF(H18="","",(G18-F18)*24*H18)</f>
        <v>4.5</v>
      </c>
      <c r="J18" s="13"/>
    </row>
    <row r="20" customFormat="false" ht="15" hidden="false" customHeight="false" outlineLevel="0" collapsed="false">
      <c r="A20" s="5" t="s">
        <v>48</v>
      </c>
      <c r="B20" s="5"/>
      <c r="C20" s="5"/>
      <c r="D20" s="5"/>
      <c r="E20" s="5"/>
      <c r="F20" s="5"/>
      <c r="G20" s="5"/>
      <c r="H20" s="5"/>
      <c r="I20" s="6" t="n">
        <f aca="false">SUM(I21:I33)</f>
        <v>120.5</v>
      </c>
      <c r="J20" s="5"/>
    </row>
    <row r="21" customFormat="false" ht="15" hidden="false" customHeight="false" outlineLevel="0" collapsed="false">
      <c r="A21" s="7" t="n">
        <v>46324</v>
      </c>
      <c r="B21" s="8" t="s">
        <v>13</v>
      </c>
      <c r="C21" s="9" t="s">
        <v>38</v>
      </c>
      <c r="D21" s="8" t="s">
        <v>39</v>
      </c>
      <c r="E21" s="8" t="s">
        <v>40</v>
      </c>
      <c r="F21" s="10" t="n">
        <v>0.291666666666667</v>
      </c>
      <c r="G21" s="10" t="n">
        <v>0.3125</v>
      </c>
      <c r="H21" s="8" t="n">
        <v>7</v>
      </c>
      <c r="I21" s="11" t="n">
        <f aca="false">IF(H21="","",(G21-F21)*24*H21)</f>
        <v>3.5</v>
      </c>
      <c r="J21" s="8"/>
    </row>
    <row r="22" customFormat="false" ht="15" hidden="false" customHeight="false" outlineLevel="0" collapsed="false">
      <c r="A22" s="7" t="n">
        <v>46324</v>
      </c>
      <c r="B22" s="8" t="s">
        <v>13</v>
      </c>
      <c r="C22" s="9" t="s">
        <v>41</v>
      </c>
      <c r="D22" s="8" t="s">
        <v>39</v>
      </c>
      <c r="E22" s="8" t="s">
        <v>40</v>
      </c>
      <c r="F22" s="10" t="n">
        <v>0.291666666666667</v>
      </c>
      <c r="G22" s="10" t="n">
        <v>0.3125</v>
      </c>
      <c r="H22" s="8" t="n">
        <v>12</v>
      </c>
      <c r="I22" s="11" t="n">
        <f aca="false">IF(H22="","",(G22-F22)*24*H22)</f>
        <v>6</v>
      </c>
      <c r="J22" s="8"/>
    </row>
    <row r="23" customFormat="false" ht="15" hidden="false" customHeight="false" outlineLevel="0" collapsed="false">
      <c r="A23" s="7" t="n">
        <v>46324</v>
      </c>
      <c r="B23" s="8" t="s">
        <v>17</v>
      </c>
      <c r="C23" s="9" t="s">
        <v>42</v>
      </c>
      <c r="D23" s="8" t="s">
        <v>39</v>
      </c>
      <c r="E23" s="8" t="s">
        <v>40</v>
      </c>
      <c r="F23" s="10" t="n">
        <v>0.3125</v>
      </c>
      <c r="G23" s="10" t="n">
        <v>0.833333333333333</v>
      </c>
      <c r="H23" s="8" t="n">
        <v>1</v>
      </c>
      <c r="I23" s="11" t="n">
        <f aca="false">IF(H23="","",(G23-F23)*24*H23)</f>
        <v>12.5</v>
      </c>
      <c r="J23" s="8"/>
    </row>
    <row r="24" customFormat="false" ht="15" hidden="false" customHeight="false" outlineLevel="0" collapsed="false">
      <c r="A24" s="7" t="n">
        <v>46324</v>
      </c>
      <c r="B24" s="8" t="s">
        <v>17</v>
      </c>
      <c r="C24" s="9" t="s">
        <v>43</v>
      </c>
      <c r="D24" s="8" t="s">
        <v>39</v>
      </c>
      <c r="E24" s="8" t="s">
        <v>40</v>
      </c>
      <c r="F24" s="10" t="n">
        <v>0.3125</v>
      </c>
      <c r="G24" s="10" t="n">
        <v>0.833333333333333</v>
      </c>
      <c r="H24" s="8" t="n">
        <v>1</v>
      </c>
      <c r="I24" s="11" t="n">
        <f aca="false">IF(H24="","",(G24-F24)*24*H24)</f>
        <v>12.5</v>
      </c>
      <c r="J24" s="8"/>
    </row>
    <row r="25" customFormat="false" ht="15" hidden="false" customHeight="false" outlineLevel="0" collapsed="false">
      <c r="A25" s="7" t="n">
        <v>46324</v>
      </c>
      <c r="B25" s="8" t="s">
        <v>17</v>
      </c>
      <c r="C25" s="9" t="s">
        <v>44</v>
      </c>
      <c r="D25" s="8" t="s">
        <v>39</v>
      </c>
      <c r="E25" s="8" t="s">
        <v>40</v>
      </c>
      <c r="F25" s="10" t="n">
        <v>0.3125</v>
      </c>
      <c r="G25" s="10" t="n">
        <v>0.833333333333333</v>
      </c>
      <c r="H25" s="8" t="n">
        <v>1</v>
      </c>
      <c r="I25" s="11" t="n">
        <f aca="false">IF(H25="","",(G25-F25)*24*H25)</f>
        <v>12.5</v>
      </c>
      <c r="J25" s="8"/>
    </row>
    <row r="26" customFormat="false" ht="15" hidden="false" customHeight="false" outlineLevel="0" collapsed="false">
      <c r="A26" s="7" t="n">
        <v>46324</v>
      </c>
      <c r="B26" s="8" t="s">
        <v>17</v>
      </c>
      <c r="C26" s="9" t="s">
        <v>45</v>
      </c>
      <c r="D26" s="8" t="s">
        <v>39</v>
      </c>
      <c r="E26" s="8" t="s">
        <v>40</v>
      </c>
      <c r="F26" s="10" t="n">
        <v>0.3125</v>
      </c>
      <c r="G26" s="10" t="n">
        <v>0.833333333333333</v>
      </c>
      <c r="H26" s="8" t="n">
        <v>1</v>
      </c>
      <c r="I26" s="11" t="n">
        <f aca="false">IF(H26="","",(G26-F26)*24*H26)</f>
        <v>12.5</v>
      </c>
      <c r="J26" s="8"/>
    </row>
    <row r="27" customFormat="false" ht="15" hidden="false" customHeight="false" outlineLevel="0" collapsed="false">
      <c r="A27" s="7" t="n">
        <v>46324</v>
      </c>
      <c r="B27" s="8" t="s">
        <v>17</v>
      </c>
      <c r="C27" s="9" t="s">
        <v>46</v>
      </c>
      <c r="D27" s="8" t="s">
        <v>39</v>
      </c>
      <c r="E27" s="8" t="s">
        <v>40</v>
      </c>
      <c r="F27" s="10" t="n">
        <v>0.3125</v>
      </c>
      <c r="G27" s="10" t="n">
        <v>0.833333333333333</v>
      </c>
      <c r="H27" s="8" t="n">
        <v>1</v>
      </c>
      <c r="I27" s="11" t="n">
        <f aca="false">IF(H27="","",(G27-F27)*24*H27)</f>
        <v>12.5</v>
      </c>
      <c r="J27" s="8"/>
    </row>
    <row r="28" customFormat="false" ht="15" hidden="false" customHeight="false" outlineLevel="0" collapsed="false">
      <c r="A28" s="7" t="n">
        <v>46324</v>
      </c>
      <c r="B28" s="8" t="s">
        <v>17</v>
      </c>
      <c r="C28" s="9" t="s">
        <v>47</v>
      </c>
      <c r="D28" s="8" t="s">
        <v>39</v>
      </c>
      <c r="E28" s="8" t="s">
        <v>40</v>
      </c>
      <c r="F28" s="10" t="n">
        <v>0.3125</v>
      </c>
      <c r="G28" s="10" t="n">
        <v>0.833333333333333</v>
      </c>
      <c r="H28" s="8" t="n">
        <v>1</v>
      </c>
      <c r="I28" s="11" t="n">
        <f aca="false">IF(H28="","",(G28-F28)*24*H28)</f>
        <v>12.5</v>
      </c>
      <c r="J28" s="8"/>
    </row>
    <row r="29" customFormat="false" ht="15" hidden="false" customHeight="false" outlineLevel="0" collapsed="false">
      <c r="A29" s="12" t="n">
        <v>46324</v>
      </c>
      <c r="B29" s="13" t="s">
        <v>23</v>
      </c>
      <c r="C29" s="14" t="s">
        <v>26</v>
      </c>
      <c r="D29" s="13" t="s">
        <v>39</v>
      </c>
      <c r="E29" s="13" t="s">
        <v>22</v>
      </c>
      <c r="F29" s="15" t="n">
        <v>0.3125</v>
      </c>
      <c r="G29" s="15" t="n">
        <v>0.5</v>
      </c>
      <c r="H29" s="13" t="n">
        <v>1</v>
      </c>
      <c r="I29" s="16" t="n">
        <f aca="false">IF(H29="","",(G29-F29)*24*H29)</f>
        <v>4.5</v>
      </c>
      <c r="J29" s="13"/>
    </row>
    <row r="30" customFormat="false" ht="15" hidden="false" customHeight="false" outlineLevel="0" collapsed="false">
      <c r="A30" s="12" t="n">
        <v>46324</v>
      </c>
      <c r="B30" s="13" t="s">
        <v>23</v>
      </c>
      <c r="C30" s="14" t="s">
        <v>27</v>
      </c>
      <c r="D30" s="13" t="s">
        <v>39</v>
      </c>
      <c r="E30" s="13" t="s">
        <v>22</v>
      </c>
      <c r="F30" s="15" t="n">
        <v>0.3125</v>
      </c>
      <c r="G30" s="15" t="n">
        <v>0.5</v>
      </c>
      <c r="H30" s="13" t="n">
        <v>2</v>
      </c>
      <c r="I30" s="16" t="n">
        <f aca="false">IF(H30="","",(G30-F30)*24*H30)</f>
        <v>9</v>
      </c>
      <c r="J30" s="13"/>
    </row>
    <row r="31" customFormat="false" ht="15" hidden="false" customHeight="false" outlineLevel="0" collapsed="false">
      <c r="A31" s="12" t="n">
        <v>46324</v>
      </c>
      <c r="B31" s="13" t="s">
        <v>23</v>
      </c>
      <c r="C31" s="14" t="s">
        <v>28</v>
      </c>
      <c r="D31" s="13" t="s">
        <v>39</v>
      </c>
      <c r="E31" s="13" t="s">
        <v>22</v>
      </c>
      <c r="F31" s="15" t="n">
        <v>0.3125</v>
      </c>
      <c r="G31" s="15" t="n">
        <v>0.5</v>
      </c>
      <c r="H31" s="13" t="n">
        <v>2</v>
      </c>
      <c r="I31" s="16" t="n">
        <f aca="false">IF(H31="","",(G31-F31)*24*H31)</f>
        <v>9</v>
      </c>
      <c r="J31" s="13"/>
    </row>
    <row r="32" customFormat="false" ht="15" hidden="false" customHeight="false" outlineLevel="0" collapsed="false">
      <c r="A32" s="12" t="n">
        <v>46324</v>
      </c>
      <c r="B32" s="13" t="s">
        <v>23</v>
      </c>
      <c r="C32" s="14" t="s">
        <v>29</v>
      </c>
      <c r="D32" s="13" t="s">
        <v>39</v>
      </c>
      <c r="E32" s="13" t="s">
        <v>22</v>
      </c>
      <c r="F32" s="15" t="n">
        <v>0.3125</v>
      </c>
      <c r="G32" s="15" t="n">
        <v>0.5</v>
      </c>
      <c r="H32" s="13" t="n">
        <v>1</v>
      </c>
      <c r="I32" s="16" t="n">
        <f aca="false">IF(H32="","",(G32-F32)*24*H32)</f>
        <v>4.5</v>
      </c>
      <c r="J32" s="13"/>
    </row>
    <row r="33" customFormat="false" ht="15" hidden="false" customHeight="false" outlineLevel="0" collapsed="false">
      <c r="A33" s="12" t="n">
        <v>46324</v>
      </c>
      <c r="B33" s="13" t="s">
        <v>23</v>
      </c>
      <c r="C33" s="14" t="s">
        <v>33</v>
      </c>
      <c r="D33" s="13" t="s">
        <v>39</v>
      </c>
      <c r="E33" s="13" t="s">
        <v>22</v>
      </c>
      <c r="F33" s="15" t="n">
        <v>0.3125</v>
      </c>
      <c r="G33" s="15" t="n">
        <v>0.5</v>
      </c>
      <c r="H33" s="13" t="n">
        <v>2</v>
      </c>
      <c r="I33" s="16" t="n">
        <f aca="false">IF(H33="","",(G33-F33)*24*H33)</f>
        <v>9</v>
      </c>
      <c r="J33" s="13"/>
    </row>
    <row r="35" customFormat="false" ht="15" hidden="false" customHeight="false" outlineLevel="0" collapsed="false">
      <c r="A35" s="5" t="s">
        <v>49</v>
      </c>
      <c r="B35" s="5"/>
      <c r="C35" s="5"/>
      <c r="D35" s="5"/>
      <c r="E35" s="5"/>
      <c r="F35" s="5"/>
      <c r="G35" s="5"/>
      <c r="H35" s="5"/>
      <c r="I35" s="6" t="n">
        <f aca="false">SUM(I36:I48)</f>
        <v>120.5</v>
      </c>
      <c r="J35" s="5"/>
    </row>
    <row r="36" customFormat="false" ht="15" hidden="false" customHeight="false" outlineLevel="0" collapsed="false">
      <c r="A36" s="7" t="n">
        <v>46325</v>
      </c>
      <c r="B36" s="8" t="s">
        <v>13</v>
      </c>
      <c r="C36" s="9" t="s">
        <v>38</v>
      </c>
      <c r="D36" s="8" t="s">
        <v>39</v>
      </c>
      <c r="E36" s="8" t="s">
        <v>40</v>
      </c>
      <c r="F36" s="10" t="n">
        <v>0.291666666666667</v>
      </c>
      <c r="G36" s="10" t="n">
        <v>0.3125</v>
      </c>
      <c r="H36" s="8" t="n">
        <v>7</v>
      </c>
      <c r="I36" s="11" t="n">
        <f aca="false">IF(H36="","",(G36-F36)*24*H36)</f>
        <v>3.5</v>
      </c>
      <c r="J36" s="8"/>
    </row>
    <row r="37" customFormat="false" ht="15" hidden="false" customHeight="false" outlineLevel="0" collapsed="false">
      <c r="A37" s="7" t="n">
        <v>46325</v>
      </c>
      <c r="B37" s="8" t="s">
        <v>13</v>
      </c>
      <c r="C37" s="9" t="s">
        <v>41</v>
      </c>
      <c r="D37" s="8" t="s">
        <v>39</v>
      </c>
      <c r="E37" s="8" t="s">
        <v>40</v>
      </c>
      <c r="F37" s="10" t="n">
        <v>0.291666666666667</v>
      </c>
      <c r="G37" s="10" t="n">
        <v>0.3125</v>
      </c>
      <c r="H37" s="8" t="n">
        <v>12</v>
      </c>
      <c r="I37" s="11" t="n">
        <f aca="false">IF(H37="","",(G37-F37)*24*H37)</f>
        <v>6</v>
      </c>
      <c r="J37" s="8"/>
    </row>
    <row r="38" customFormat="false" ht="15" hidden="false" customHeight="false" outlineLevel="0" collapsed="false">
      <c r="A38" s="7" t="n">
        <v>46325</v>
      </c>
      <c r="B38" s="8" t="s">
        <v>17</v>
      </c>
      <c r="C38" s="9" t="s">
        <v>42</v>
      </c>
      <c r="D38" s="8" t="s">
        <v>39</v>
      </c>
      <c r="E38" s="8" t="s">
        <v>40</v>
      </c>
      <c r="F38" s="10" t="n">
        <v>0.3125</v>
      </c>
      <c r="G38" s="10" t="n">
        <v>0.833333333333333</v>
      </c>
      <c r="H38" s="8" t="n">
        <v>1</v>
      </c>
      <c r="I38" s="11" t="n">
        <f aca="false">IF(H38="","",(G38-F38)*24*H38)</f>
        <v>12.5</v>
      </c>
      <c r="J38" s="8"/>
    </row>
    <row r="39" customFormat="false" ht="15" hidden="false" customHeight="false" outlineLevel="0" collapsed="false">
      <c r="A39" s="7" t="n">
        <v>46325</v>
      </c>
      <c r="B39" s="8" t="s">
        <v>17</v>
      </c>
      <c r="C39" s="9" t="s">
        <v>43</v>
      </c>
      <c r="D39" s="8" t="s">
        <v>39</v>
      </c>
      <c r="E39" s="8" t="s">
        <v>40</v>
      </c>
      <c r="F39" s="10" t="n">
        <v>0.3125</v>
      </c>
      <c r="G39" s="10" t="n">
        <v>0.833333333333333</v>
      </c>
      <c r="H39" s="8" t="n">
        <v>1</v>
      </c>
      <c r="I39" s="11" t="n">
        <f aca="false">IF(H39="","",(G39-F39)*24*H39)</f>
        <v>12.5</v>
      </c>
      <c r="J39" s="8"/>
    </row>
    <row r="40" customFormat="false" ht="15" hidden="false" customHeight="false" outlineLevel="0" collapsed="false">
      <c r="A40" s="7" t="n">
        <v>46325</v>
      </c>
      <c r="B40" s="8" t="s">
        <v>17</v>
      </c>
      <c r="C40" s="9" t="s">
        <v>44</v>
      </c>
      <c r="D40" s="8" t="s">
        <v>39</v>
      </c>
      <c r="E40" s="8" t="s">
        <v>40</v>
      </c>
      <c r="F40" s="10" t="n">
        <v>0.3125</v>
      </c>
      <c r="G40" s="10" t="n">
        <v>0.833333333333333</v>
      </c>
      <c r="H40" s="8" t="n">
        <v>1</v>
      </c>
      <c r="I40" s="11" t="n">
        <f aca="false">IF(H40="","",(G40-F40)*24*H40)</f>
        <v>12.5</v>
      </c>
      <c r="J40" s="8"/>
    </row>
    <row r="41" customFormat="false" ht="15" hidden="false" customHeight="false" outlineLevel="0" collapsed="false">
      <c r="A41" s="7" t="n">
        <v>46325</v>
      </c>
      <c r="B41" s="8" t="s">
        <v>17</v>
      </c>
      <c r="C41" s="9" t="s">
        <v>45</v>
      </c>
      <c r="D41" s="8" t="s">
        <v>39</v>
      </c>
      <c r="E41" s="8" t="s">
        <v>40</v>
      </c>
      <c r="F41" s="10" t="n">
        <v>0.3125</v>
      </c>
      <c r="G41" s="10" t="n">
        <v>0.833333333333333</v>
      </c>
      <c r="H41" s="8" t="n">
        <v>1</v>
      </c>
      <c r="I41" s="11" t="n">
        <f aca="false">IF(H41="","",(G41-F41)*24*H41)</f>
        <v>12.5</v>
      </c>
      <c r="J41" s="8"/>
    </row>
    <row r="42" customFormat="false" ht="15" hidden="false" customHeight="false" outlineLevel="0" collapsed="false">
      <c r="A42" s="7" t="n">
        <v>46325</v>
      </c>
      <c r="B42" s="8" t="s">
        <v>17</v>
      </c>
      <c r="C42" s="9" t="s">
        <v>46</v>
      </c>
      <c r="D42" s="8" t="s">
        <v>39</v>
      </c>
      <c r="E42" s="8" t="s">
        <v>40</v>
      </c>
      <c r="F42" s="10" t="n">
        <v>0.3125</v>
      </c>
      <c r="G42" s="10" t="n">
        <v>0.833333333333333</v>
      </c>
      <c r="H42" s="8" t="n">
        <v>1</v>
      </c>
      <c r="I42" s="11" t="n">
        <f aca="false">IF(H42="","",(G42-F42)*24*H42)</f>
        <v>12.5</v>
      </c>
      <c r="J42" s="8"/>
    </row>
    <row r="43" customFormat="false" ht="15" hidden="false" customHeight="false" outlineLevel="0" collapsed="false">
      <c r="A43" s="7" t="n">
        <v>46325</v>
      </c>
      <c r="B43" s="8" t="s">
        <v>17</v>
      </c>
      <c r="C43" s="9" t="s">
        <v>47</v>
      </c>
      <c r="D43" s="8" t="s">
        <v>39</v>
      </c>
      <c r="E43" s="8" t="s">
        <v>40</v>
      </c>
      <c r="F43" s="10" t="n">
        <v>0.3125</v>
      </c>
      <c r="G43" s="10" t="n">
        <v>0.833333333333333</v>
      </c>
      <c r="H43" s="8" t="n">
        <v>1</v>
      </c>
      <c r="I43" s="11" t="n">
        <f aca="false">IF(H43="","",(G43-F43)*24*H43)</f>
        <v>12.5</v>
      </c>
      <c r="J43" s="8"/>
    </row>
    <row r="44" customFormat="false" ht="15" hidden="false" customHeight="false" outlineLevel="0" collapsed="false">
      <c r="A44" s="12" t="n">
        <v>46325</v>
      </c>
      <c r="B44" s="13" t="s">
        <v>23</v>
      </c>
      <c r="C44" s="14" t="s">
        <v>26</v>
      </c>
      <c r="D44" s="13" t="s">
        <v>39</v>
      </c>
      <c r="E44" s="13" t="s">
        <v>22</v>
      </c>
      <c r="F44" s="15" t="n">
        <v>0.3125</v>
      </c>
      <c r="G44" s="15" t="n">
        <v>0.5</v>
      </c>
      <c r="H44" s="13" t="n">
        <v>1</v>
      </c>
      <c r="I44" s="16" t="n">
        <f aca="false">IF(H44="","",(G44-F44)*24*H44)</f>
        <v>4.5</v>
      </c>
      <c r="J44" s="13"/>
    </row>
    <row r="45" customFormat="false" ht="15" hidden="false" customHeight="false" outlineLevel="0" collapsed="false">
      <c r="A45" s="12" t="n">
        <v>46325</v>
      </c>
      <c r="B45" s="13" t="s">
        <v>23</v>
      </c>
      <c r="C45" s="14" t="s">
        <v>27</v>
      </c>
      <c r="D45" s="13" t="s">
        <v>39</v>
      </c>
      <c r="E45" s="13" t="s">
        <v>22</v>
      </c>
      <c r="F45" s="15" t="n">
        <v>0.3125</v>
      </c>
      <c r="G45" s="15" t="n">
        <v>0.5</v>
      </c>
      <c r="H45" s="13" t="n">
        <v>2</v>
      </c>
      <c r="I45" s="16" t="n">
        <f aca="false">IF(H45="","",(G45-F45)*24*H45)</f>
        <v>9</v>
      </c>
      <c r="J45" s="13"/>
    </row>
    <row r="46" customFormat="false" ht="15" hidden="false" customHeight="false" outlineLevel="0" collapsed="false">
      <c r="A46" s="12" t="n">
        <v>46325</v>
      </c>
      <c r="B46" s="13" t="s">
        <v>23</v>
      </c>
      <c r="C46" s="14" t="s">
        <v>28</v>
      </c>
      <c r="D46" s="13" t="s">
        <v>39</v>
      </c>
      <c r="E46" s="13" t="s">
        <v>22</v>
      </c>
      <c r="F46" s="15" t="n">
        <v>0.3125</v>
      </c>
      <c r="G46" s="15" t="n">
        <v>0.5</v>
      </c>
      <c r="H46" s="13" t="n">
        <v>2</v>
      </c>
      <c r="I46" s="16" t="n">
        <f aca="false">IF(H46="","",(G46-F46)*24*H46)</f>
        <v>9</v>
      </c>
      <c r="J46" s="13"/>
    </row>
    <row r="47" customFormat="false" ht="15" hidden="false" customHeight="false" outlineLevel="0" collapsed="false">
      <c r="A47" s="12" t="n">
        <v>46325</v>
      </c>
      <c r="B47" s="13" t="s">
        <v>23</v>
      </c>
      <c r="C47" s="14" t="s">
        <v>29</v>
      </c>
      <c r="D47" s="13" t="s">
        <v>39</v>
      </c>
      <c r="E47" s="13" t="s">
        <v>22</v>
      </c>
      <c r="F47" s="15" t="n">
        <v>0.3125</v>
      </c>
      <c r="G47" s="15" t="n">
        <v>0.5</v>
      </c>
      <c r="H47" s="13" t="n">
        <v>1</v>
      </c>
      <c r="I47" s="16" t="n">
        <f aca="false">IF(H47="","",(G47-F47)*24*H47)</f>
        <v>4.5</v>
      </c>
      <c r="J47" s="13"/>
    </row>
    <row r="48" customFormat="false" ht="15" hidden="false" customHeight="false" outlineLevel="0" collapsed="false">
      <c r="A48" s="12" t="n">
        <v>46325</v>
      </c>
      <c r="B48" s="13" t="s">
        <v>23</v>
      </c>
      <c r="C48" s="14" t="s">
        <v>33</v>
      </c>
      <c r="D48" s="13" t="s">
        <v>39</v>
      </c>
      <c r="E48" s="13" t="s">
        <v>22</v>
      </c>
      <c r="F48" s="15" t="n">
        <v>0.3125</v>
      </c>
      <c r="G48" s="15" t="n">
        <v>0.5</v>
      </c>
      <c r="H48" s="13" t="n">
        <v>2</v>
      </c>
      <c r="I48" s="16" t="n">
        <f aca="false">IF(H48="","",(G48-F48)*24*H48)</f>
        <v>9</v>
      </c>
      <c r="J48" s="13"/>
    </row>
    <row r="50" customFormat="false" ht="15" hidden="false" customHeight="false" outlineLevel="0" collapsed="false">
      <c r="H50" s="17" t="s">
        <v>35</v>
      </c>
      <c r="I50" s="18" t="n">
        <f aca="false">SUMIF(A5:A49,"&gt;0",I5:I49)</f>
        <v>368.5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51</v>
      </c>
      <c r="B5" s="5"/>
      <c r="C5" s="5"/>
      <c r="D5" s="5"/>
      <c r="E5" s="5"/>
      <c r="F5" s="5"/>
      <c r="G5" s="5"/>
      <c r="H5" s="5"/>
      <c r="I5" s="6" t="n">
        <f aca="false">SUM(I6:I19)</f>
        <v>180.5</v>
      </c>
      <c r="J5" s="5"/>
    </row>
    <row r="6" customFormat="false" ht="15" hidden="false" customHeight="false" outlineLevel="0" collapsed="false">
      <c r="A6" s="7" t="n">
        <v>46323</v>
      </c>
      <c r="B6" s="8" t="s">
        <v>13</v>
      </c>
      <c r="C6" s="9" t="s">
        <v>52</v>
      </c>
      <c r="D6" s="8" t="s">
        <v>53</v>
      </c>
      <c r="E6" s="8" t="s">
        <v>54</v>
      </c>
      <c r="F6" s="10" t="n">
        <v>0.291666666666667</v>
      </c>
      <c r="G6" s="10" t="n">
        <v>0.3125</v>
      </c>
      <c r="H6" s="8" t="n">
        <v>18</v>
      </c>
      <c r="I6" s="11" t="n">
        <f aca="false">IF(H6="","",(G6-F6)*24*H6)</f>
        <v>9</v>
      </c>
      <c r="J6" s="8"/>
    </row>
    <row r="7" customFormat="false" ht="15" hidden="false" customHeight="false" outlineLevel="0" collapsed="false">
      <c r="A7" s="7" t="n">
        <v>46323</v>
      </c>
      <c r="B7" s="8" t="s">
        <v>13</v>
      </c>
      <c r="C7" s="9" t="s">
        <v>55</v>
      </c>
      <c r="D7" s="8" t="s">
        <v>53</v>
      </c>
      <c r="E7" s="8" t="s">
        <v>54</v>
      </c>
      <c r="F7" s="10" t="n">
        <v>0.291666666666667</v>
      </c>
      <c r="G7" s="10" t="n">
        <v>0.3125</v>
      </c>
      <c r="H7" s="8" t="n">
        <v>7</v>
      </c>
      <c r="I7" s="11" t="n">
        <f aca="false">IF(H7="","",(G7-F7)*24*H7)</f>
        <v>3.5</v>
      </c>
      <c r="J7" s="8"/>
    </row>
    <row r="8" customFormat="false" ht="15" hidden="false" customHeight="false" outlineLevel="0" collapsed="false">
      <c r="A8" s="7" t="n">
        <v>46323</v>
      </c>
      <c r="B8" s="8" t="s">
        <v>17</v>
      </c>
      <c r="C8" s="9" t="s">
        <v>42</v>
      </c>
      <c r="D8" s="8" t="s">
        <v>53</v>
      </c>
      <c r="E8" s="8" t="s">
        <v>54</v>
      </c>
      <c r="F8" s="10" t="n">
        <v>0.3125</v>
      </c>
      <c r="G8" s="10" t="n">
        <v>0.833333333333333</v>
      </c>
      <c r="H8" s="8" t="n">
        <v>1</v>
      </c>
      <c r="I8" s="11" t="n">
        <f aca="false">IF(H8="","",(G8-F8)*24*H8)</f>
        <v>12.5</v>
      </c>
      <c r="J8" s="8"/>
    </row>
    <row r="9" customFormat="false" ht="15" hidden="false" customHeight="false" outlineLevel="0" collapsed="false">
      <c r="A9" s="7" t="n">
        <v>46323</v>
      </c>
      <c r="B9" s="8" t="s">
        <v>17</v>
      </c>
      <c r="C9" s="9" t="s">
        <v>56</v>
      </c>
      <c r="D9" s="8" t="s">
        <v>53</v>
      </c>
      <c r="E9" s="8" t="s">
        <v>54</v>
      </c>
      <c r="F9" s="10" t="n">
        <v>0.3125</v>
      </c>
      <c r="G9" s="10" t="n">
        <v>0.833333333333333</v>
      </c>
      <c r="H9" s="8" t="n">
        <v>1</v>
      </c>
      <c r="I9" s="11" t="n">
        <f aca="false">IF(H9="","",(G9-F9)*24*H9)</f>
        <v>12.5</v>
      </c>
      <c r="J9" s="8"/>
    </row>
    <row r="10" customFormat="false" ht="15" hidden="false" customHeight="false" outlineLevel="0" collapsed="false">
      <c r="A10" s="7" t="n">
        <v>46323</v>
      </c>
      <c r="B10" s="8" t="s">
        <v>17</v>
      </c>
      <c r="C10" s="9" t="s">
        <v>57</v>
      </c>
      <c r="D10" s="8" t="s">
        <v>53</v>
      </c>
      <c r="E10" s="8" t="s">
        <v>54</v>
      </c>
      <c r="F10" s="10" t="n">
        <v>0.3125</v>
      </c>
      <c r="G10" s="10" t="n">
        <v>0.833333333333333</v>
      </c>
      <c r="H10" s="8" t="n">
        <v>1</v>
      </c>
      <c r="I10" s="11" t="n">
        <f aca="false">IF(H10="","",(G10-F10)*24*H10)</f>
        <v>12.5</v>
      </c>
      <c r="J10" s="8"/>
    </row>
    <row r="11" customFormat="false" ht="15" hidden="false" customHeight="false" outlineLevel="0" collapsed="false">
      <c r="A11" s="7" t="n">
        <v>46323</v>
      </c>
      <c r="B11" s="8" t="s">
        <v>17</v>
      </c>
      <c r="C11" s="9" t="s">
        <v>58</v>
      </c>
      <c r="D11" s="8" t="s">
        <v>53</v>
      </c>
      <c r="E11" s="8" t="s">
        <v>40</v>
      </c>
      <c r="F11" s="10" t="n">
        <v>0.3125</v>
      </c>
      <c r="G11" s="10" t="n">
        <v>0.833333333333333</v>
      </c>
      <c r="H11" s="8" t="n">
        <v>1</v>
      </c>
      <c r="I11" s="11" t="n">
        <f aca="false">IF(H11="","",(G11-F11)*24*H11)</f>
        <v>12.5</v>
      </c>
      <c r="J11" s="8"/>
    </row>
    <row r="12" customFormat="false" ht="15" hidden="false" customHeight="false" outlineLevel="0" collapsed="false">
      <c r="A12" s="7" t="n">
        <v>46323</v>
      </c>
      <c r="B12" s="8" t="s">
        <v>17</v>
      </c>
      <c r="C12" s="9" t="s">
        <v>59</v>
      </c>
      <c r="D12" s="8" t="s">
        <v>53</v>
      </c>
      <c r="E12" s="8" t="s">
        <v>54</v>
      </c>
      <c r="F12" s="10" t="n">
        <v>0.3125</v>
      </c>
      <c r="G12" s="10" t="n">
        <v>0.833333333333333</v>
      </c>
      <c r="H12" s="8" t="n">
        <v>1</v>
      </c>
      <c r="I12" s="11" t="n">
        <f aca="false">IF(H12="","",(G12-F12)*24*H12)</f>
        <v>12.5</v>
      </c>
      <c r="J12" s="8"/>
    </row>
    <row r="13" customFormat="false" ht="15" hidden="false" customHeight="false" outlineLevel="0" collapsed="false">
      <c r="A13" s="7" t="n">
        <v>46323</v>
      </c>
      <c r="B13" s="8" t="s">
        <v>17</v>
      </c>
      <c r="C13" s="9" t="s">
        <v>60</v>
      </c>
      <c r="D13" s="8" t="s">
        <v>53</v>
      </c>
      <c r="E13" s="8" t="s">
        <v>54</v>
      </c>
      <c r="F13" s="10" t="n">
        <v>0.3125</v>
      </c>
      <c r="G13" s="10" t="n">
        <v>0.833333333333333</v>
      </c>
      <c r="H13" s="8" t="n">
        <v>4</v>
      </c>
      <c r="I13" s="11" t="n">
        <f aca="false">IF(H13="","",(G13-F13)*24*H13)</f>
        <v>50</v>
      </c>
      <c r="J13" s="8"/>
    </row>
    <row r="14" customFormat="false" ht="15" hidden="false" customHeight="false" outlineLevel="0" collapsed="false">
      <c r="A14" s="7" t="n">
        <v>46323</v>
      </c>
      <c r="B14" s="8" t="s">
        <v>17</v>
      </c>
      <c r="C14" s="9" t="s">
        <v>61</v>
      </c>
      <c r="D14" s="8" t="s">
        <v>53</v>
      </c>
      <c r="E14" s="8" t="s">
        <v>54</v>
      </c>
      <c r="F14" s="10" t="n">
        <v>0.3125</v>
      </c>
      <c r="G14" s="10" t="n">
        <v>0.833333333333333</v>
      </c>
      <c r="H14" s="8" t="n">
        <v>1</v>
      </c>
      <c r="I14" s="11" t="n">
        <f aca="false">IF(H14="","",(G14-F14)*24*H14)</f>
        <v>12.5</v>
      </c>
      <c r="J14" s="8"/>
    </row>
    <row r="15" customFormat="false" ht="15" hidden="false" customHeight="false" outlineLevel="0" collapsed="false">
      <c r="A15" s="12" t="n">
        <v>46323</v>
      </c>
      <c r="B15" s="13" t="s">
        <v>20</v>
      </c>
      <c r="C15" s="14" t="s">
        <v>21</v>
      </c>
      <c r="D15" s="13" t="s">
        <v>53</v>
      </c>
      <c r="E15" s="13" t="s">
        <v>22</v>
      </c>
      <c r="F15" s="15" t="n">
        <v>0.333333333333333</v>
      </c>
      <c r="G15" s="15" t="n">
        <v>0.666666666666667</v>
      </c>
      <c r="H15" s="13" t="n">
        <v>2</v>
      </c>
      <c r="I15" s="16" t="n">
        <f aca="false">IF(H15="","",(G15-F15)*24*H15)</f>
        <v>16</v>
      </c>
      <c r="J15" s="13"/>
    </row>
    <row r="16" customFormat="false" ht="15" hidden="false" customHeight="false" outlineLevel="0" collapsed="false">
      <c r="A16" s="12" t="n">
        <v>46323</v>
      </c>
      <c r="B16" s="13" t="s">
        <v>23</v>
      </c>
      <c r="C16" s="14" t="s">
        <v>28</v>
      </c>
      <c r="D16" s="13" t="s">
        <v>53</v>
      </c>
      <c r="E16" s="13" t="s">
        <v>22</v>
      </c>
      <c r="F16" s="15" t="n">
        <v>0.3125</v>
      </c>
      <c r="G16" s="15" t="n">
        <v>0.5</v>
      </c>
      <c r="H16" s="13" t="n">
        <v>1</v>
      </c>
      <c r="I16" s="16" t="n">
        <f aca="false">IF(H16="","",(G16-F16)*24*H16)</f>
        <v>4.5</v>
      </c>
      <c r="J16" s="13"/>
    </row>
    <row r="17" customFormat="false" ht="15" hidden="false" customHeight="false" outlineLevel="0" collapsed="false">
      <c r="A17" s="12" t="n">
        <v>46323</v>
      </c>
      <c r="B17" s="13" t="s">
        <v>23</v>
      </c>
      <c r="C17" s="14" t="s">
        <v>29</v>
      </c>
      <c r="D17" s="13" t="s">
        <v>53</v>
      </c>
      <c r="E17" s="13" t="s">
        <v>22</v>
      </c>
      <c r="F17" s="15" t="n">
        <v>0.3125</v>
      </c>
      <c r="G17" s="15" t="n">
        <v>0.5</v>
      </c>
      <c r="H17" s="13" t="n">
        <v>3</v>
      </c>
      <c r="I17" s="16" t="n">
        <f aca="false">IF(H17="","",(G17-F17)*24*H17)</f>
        <v>13.5</v>
      </c>
      <c r="J17" s="13"/>
    </row>
    <row r="18" customFormat="false" ht="15" hidden="false" customHeight="false" outlineLevel="0" collapsed="false">
      <c r="A18" s="12" t="n">
        <v>46323</v>
      </c>
      <c r="B18" s="13" t="s">
        <v>23</v>
      </c>
      <c r="C18" s="14" t="s">
        <v>62</v>
      </c>
      <c r="D18" s="13" t="s">
        <v>53</v>
      </c>
      <c r="E18" s="13" t="s">
        <v>22</v>
      </c>
      <c r="F18" s="15" t="n">
        <v>0.3125</v>
      </c>
      <c r="G18" s="15" t="n">
        <v>0.5</v>
      </c>
      <c r="H18" s="13" t="n">
        <v>1</v>
      </c>
      <c r="I18" s="16" t="n">
        <f aca="false">IF(H18="","",(G18-F18)*24*H18)</f>
        <v>4.5</v>
      </c>
      <c r="J18" s="13"/>
    </row>
    <row r="19" customFormat="false" ht="15" hidden="false" customHeight="false" outlineLevel="0" collapsed="false">
      <c r="A19" s="12" t="n">
        <v>46323</v>
      </c>
      <c r="B19" s="13" t="s">
        <v>23</v>
      </c>
      <c r="C19" s="14" t="s">
        <v>31</v>
      </c>
      <c r="D19" s="13" t="s">
        <v>53</v>
      </c>
      <c r="E19" s="13" t="s">
        <v>22</v>
      </c>
      <c r="F19" s="15" t="n">
        <v>0.3125</v>
      </c>
      <c r="G19" s="15" t="n">
        <v>0.5</v>
      </c>
      <c r="H19" s="13" t="n">
        <v>1</v>
      </c>
      <c r="I19" s="16" t="n">
        <f aca="false">IF(H19="","",(G19-F19)*24*H19)</f>
        <v>4.5</v>
      </c>
      <c r="J19" s="13"/>
    </row>
    <row r="21" customFormat="false" ht="15" hidden="false" customHeight="false" outlineLevel="0" collapsed="false">
      <c r="A21" s="5" t="s">
        <v>63</v>
      </c>
      <c r="B21" s="5"/>
      <c r="C21" s="5"/>
      <c r="D21" s="5"/>
      <c r="E21" s="5"/>
      <c r="F21" s="5"/>
      <c r="G21" s="5"/>
      <c r="H21" s="5"/>
      <c r="I21" s="6" t="n">
        <f aca="false">SUM(I22:I35)</f>
        <v>173.5</v>
      </c>
      <c r="J21" s="5"/>
    </row>
    <row r="22" customFormat="false" ht="15" hidden="false" customHeight="false" outlineLevel="0" collapsed="false">
      <c r="A22" s="7" t="n">
        <v>46324</v>
      </c>
      <c r="B22" s="8" t="s">
        <v>13</v>
      </c>
      <c r="C22" s="9" t="s">
        <v>52</v>
      </c>
      <c r="D22" s="8" t="s">
        <v>53</v>
      </c>
      <c r="E22" s="8" t="s">
        <v>54</v>
      </c>
      <c r="F22" s="10" t="n">
        <v>0.291666666666667</v>
      </c>
      <c r="G22" s="10" t="n">
        <v>0.3125</v>
      </c>
      <c r="H22" s="8" t="n">
        <v>18</v>
      </c>
      <c r="I22" s="11" t="n">
        <f aca="false">IF(H22="","",(G22-F22)*24*H22)</f>
        <v>9</v>
      </c>
      <c r="J22" s="8"/>
    </row>
    <row r="23" customFormat="false" ht="15" hidden="false" customHeight="false" outlineLevel="0" collapsed="false">
      <c r="A23" s="7" t="n">
        <v>46324</v>
      </c>
      <c r="B23" s="8" t="s">
        <v>13</v>
      </c>
      <c r="C23" s="9" t="s">
        <v>55</v>
      </c>
      <c r="D23" s="8" t="s">
        <v>53</v>
      </c>
      <c r="E23" s="8" t="s">
        <v>54</v>
      </c>
      <c r="F23" s="10" t="n">
        <v>0.291666666666667</v>
      </c>
      <c r="G23" s="10" t="n">
        <v>0.3125</v>
      </c>
      <c r="H23" s="8" t="n">
        <v>7</v>
      </c>
      <c r="I23" s="11" t="n">
        <f aca="false">IF(H23="","",(G23-F23)*24*H23)</f>
        <v>3.5</v>
      </c>
      <c r="J23" s="8"/>
    </row>
    <row r="24" customFormat="false" ht="15" hidden="false" customHeight="false" outlineLevel="0" collapsed="false">
      <c r="A24" s="7" t="n">
        <v>46324</v>
      </c>
      <c r="B24" s="8" t="s">
        <v>17</v>
      </c>
      <c r="C24" s="9" t="s">
        <v>42</v>
      </c>
      <c r="D24" s="8" t="s">
        <v>53</v>
      </c>
      <c r="E24" s="8" t="s">
        <v>54</v>
      </c>
      <c r="F24" s="10" t="n">
        <v>0.3125</v>
      </c>
      <c r="G24" s="10" t="n">
        <v>0.833333333333333</v>
      </c>
      <c r="H24" s="8" t="n">
        <v>1</v>
      </c>
      <c r="I24" s="11" t="n">
        <f aca="false">IF(H24="","",(G24-F24)*24*H24)</f>
        <v>12.5</v>
      </c>
      <c r="J24" s="8"/>
    </row>
    <row r="25" customFormat="false" ht="15" hidden="false" customHeight="false" outlineLevel="0" collapsed="false">
      <c r="A25" s="7" t="n">
        <v>46324</v>
      </c>
      <c r="B25" s="8" t="s">
        <v>17</v>
      </c>
      <c r="C25" s="9" t="s">
        <v>56</v>
      </c>
      <c r="D25" s="8" t="s">
        <v>53</v>
      </c>
      <c r="E25" s="8" t="s">
        <v>54</v>
      </c>
      <c r="F25" s="10" t="n">
        <v>0.3125</v>
      </c>
      <c r="G25" s="10" t="n">
        <v>0.833333333333333</v>
      </c>
      <c r="H25" s="8" t="n">
        <v>1</v>
      </c>
      <c r="I25" s="11" t="n">
        <f aca="false">IF(H25="","",(G25-F25)*24*H25)</f>
        <v>12.5</v>
      </c>
      <c r="J25" s="8"/>
    </row>
    <row r="26" customFormat="false" ht="15" hidden="false" customHeight="false" outlineLevel="0" collapsed="false">
      <c r="A26" s="7" t="n">
        <v>46324</v>
      </c>
      <c r="B26" s="8" t="s">
        <v>17</v>
      </c>
      <c r="C26" s="9" t="s">
        <v>57</v>
      </c>
      <c r="D26" s="8" t="s">
        <v>53</v>
      </c>
      <c r="E26" s="8" t="s">
        <v>54</v>
      </c>
      <c r="F26" s="10" t="n">
        <v>0.3125</v>
      </c>
      <c r="G26" s="10" t="n">
        <v>0.833333333333333</v>
      </c>
      <c r="H26" s="8" t="n">
        <v>1</v>
      </c>
      <c r="I26" s="11" t="n">
        <f aca="false">IF(H26="","",(G26-F26)*24*H26)</f>
        <v>12.5</v>
      </c>
      <c r="J26" s="8"/>
    </row>
    <row r="27" customFormat="false" ht="15" hidden="false" customHeight="false" outlineLevel="0" collapsed="false">
      <c r="A27" s="7" t="n">
        <v>46324</v>
      </c>
      <c r="B27" s="8" t="s">
        <v>17</v>
      </c>
      <c r="C27" s="9" t="s">
        <v>58</v>
      </c>
      <c r="D27" s="8" t="s">
        <v>53</v>
      </c>
      <c r="E27" s="8" t="s">
        <v>40</v>
      </c>
      <c r="F27" s="10" t="n">
        <v>0.3125</v>
      </c>
      <c r="G27" s="10" t="n">
        <v>0.833333333333333</v>
      </c>
      <c r="H27" s="8" t="n">
        <v>1</v>
      </c>
      <c r="I27" s="11" t="n">
        <f aca="false">IF(H27="","",(G27-F27)*24*H27)</f>
        <v>12.5</v>
      </c>
      <c r="J27" s="8"/>
    </row>
    <row r="28" customFormat="false" ht="15" hidden="false" customHeight="false" outlineLevel="0" collapsed="false">
      <c r="A28" s="7" t="n">
        <v>46324</v>
      </c>
      <c r="B28" s="8" t="s">
        <v>17</v>
      </c>
      <c r="C28" s="9" t="s">
        <v>59</v>
      </c>
      <c r="D28" s="8" t="s">
        <v>53</v>
      </c>
      <c r="E28" s="8" t="s">
        <v>54</v>
      </c>
      <c r="F28" s="10" t="n">
        <v>0.3125</v>
      </c>
      <c r="G28" s="10" t="n">
        <v>0.833333333333333</v>
      </c>
      <c r="H28" s="8" t="n">
        <v>1</v>
      </c>
      <c r="I28" s="11" t="n">
        <f aca="false">IF(H28="","",(G28-F28)*24*H28)</f>
        <v>12.5</v>
      </c>
      <c r="J28" s="8"/>
    </row>
    <row r="29" customFormat="false" ht="15" hidden="false" customHeight="false" outlineLevel="0" collapsed="false">
      <c r="A29" s="7" t="n">
        <v>46324</v>
      </c>
      <c r="B29" s="8" t="s">
        <v>17</v>
      </c>
      <c r="C29" s="9" t="s">
        <v>60</v>
      </c>
      <c r="D29" s="8" t="s">
        <v>53</v>
      </c>
      <c r="E29" s="8" t="s">
        <v>54</v>
      </c>
      <c r="F29" s="10" t="n">
        <v>0.3125</v>
      </c>
      <c r="G29" s="10" t="n">
        <v>0.833333333333333</v>
      </c>
      <c r="H29" s="8" t="n">
        <v>4</v>
      </c>
      <c r="I29" s="11" t="n">
        <f aca="false">IF(H29="","",(G29-F29)*24*H29)</f>
        <v>50</v>
      </c>
      <c r="J29" s="8"/>
    </row>
    <row r="30" customFormat="false" ht="15" hidden="false" customHeight="false" outlineLevel="0" collapsed="false">
      <c r="A30" s="7" t="n">
        <v>46324</v>
      </c>
      <c r="B30" s="8" t="s">
        <v>17</v>
      </c>
      <c r="C30" s="9" t="s">
        <v>61</v>
      </c>
      <c r="D30" s="8" t="s">
        <v>53</v>
      </c>
      <c r="E30" s="8" t="s">
        <v>54</v>
      </c>
      <c r="F30" s="10" t="n">
        <v>0.3125</v>
      </c>
      <c r="G30" s="10" t="n">
        <v>0.833333333333333</v>
      </c>
      <c r="H30" s="8" t="n">
        <v>1</v>
      </c>
      <c r="I30" s="11" t="n">
        <f aca="false">IF(H30="","",(G30-F30)*24*H30)</f>
        <v>12.5</v>
      </c>
      <c r="J30" s="8"/>
    </row>
    <row r="31" customFormat="false" ht="15" hidden="false" customHeight="false" outlineLevel="0" collapsed="false">
      <c r="A31" s="12" t="n">
        <v>46324</v>
      </c>
      <c r="B31" s="13" t="s">
        <v>23</v>
      </c>
      <c r="C31" s="14" t="s">
        <v>28</v>
      </c>
      <c r="D31" s="13" t="s">
        <v>53</v>
      </c>
      <c r="E31" s="13" t="s">
        <v>22</v>
      </c>
      <c r="F31" s="15" t="n">
        <v>0.3125</v>
      </c>
      <c r="G31" s="15" t="n">
        <v>0.5</v>
      </c>
      <c r="H31" s="13" t="n">
        <v>1</v>
      </c>
      <c r="I31" s="16" t="n">
        <f aca="false">IF(H31="","",(G31-F31)*24*H31)</f>
        <v>4.5</v>
      </c>
      <c r="J31" s="13"/>
    </row>
    <row r="32" customFormat="false" ht="15" hidden="false" customHeight="false" outlineLevel="0" collapsed="false">
      <c r="A32" s="12" t="n">
        <v>46324</v>
      </c>
      <c r="B32" s="13" t="s">
        <v>23</v>
      </c>
      <c r="C32" s="14" t="s">
        <v>29</v>
      </c>
      <c r="D32" s="13" t="s">
        <v>53</v>
      </c>
      <c r="E32" s="13" t="s">
        <v>22</v>
      </c>
      <c r="F32" s="15" t="n">
        <v>0.3125</v>
      </c>
      <c r="G32" s="15" t="n">
        <v>0.5</v>
      </c>
      <c r="H32" s="13" t="n">
        <v>3</v>
      </c>
      <c r="I32" s="16" t="n">
        <f aca="false">IF(H32="","",(G32-F32)*24*H32)</f>
        <v>13.5</v>
      </c>
      <c r="J32" s="13"/>
    </row>
    <row r="33" customFormat="false" ht="15" hidden="false" customHeight="false" outlineLevel="0" collapsed="false">
      <c r="A33" s="12" t="n">
        <v>46324</v>
      </c>
      <c r="B33" s="13" t="s">
        <v>23</v>
      </c>
      <c r="C33" s="14" t="s">
        <v>62</v>
      </c>
      <c r="D33" s="13" t="s">
        <v>53</v>
      </c>
      <c r="E33" s="13" t="s">
        <v>22</v>
      </c>
      <c r="F33" s="15" t="n">
        <v>0.3125</v>
      </c>
      <c r="G33" s="15" t="n">
        <v>0.5</v>
      </c>
      <c r="H33" s="13" t="n">
        <v>1</v>
      </c>
      <c r="I33" s="16" t="n">
        <f aca="false">IF(H33="","",(G33-F33)*24*H33)</f>
        <v>4.5</v>
      </c>
      <c r="J33" s="13"/>
    </row>
    <row r="34" customFormat="false" ht="15" hidden="false" customHeight="false" outlineLevel="0" collapsed="false">
      <c r="A34" s="12" t="n">
        <v>46324</v>
      </c>
      <c r="B34" s="13" t="s">
        <v>23</v>
      </c>
      <c r="C34" s="14" t="s">
        <v>31</v>
      </c>
      <c r="D34" s="13" t="s">
        <v>53</v>
      </c>
      <c r="E34" s="13" t="s">
        <v>22</v>
      </c>
      <c r="F34" s="15" t="n">
        <v>0.3125</v>
      </c>
      <c r="G34" s="15" t="n">
        <v>0.5</v>
      </c>
      <c r="H34" s="13" t="n">
        <v>1</v>
      </c>
      <c r="I34" s="16" t="n">
        <f aca="false">IF(H34="","",(G34-F34)*24*H34)</f>
        <v>4.5</v>
      </c>
      <c r="J34" s="13"/>
    </row>
    <row r="35" customFormat="false" ht="15" hidden="false" customHeight="false" outlineLevel="0" collapsed="false">
      <c r="A35" s="12" t="n">
        <v>46324</v>
      </c>
      <c r="B35" s="13" t="s">
        <v>23</v>
      </c>
      <c r="C35" s="14" t="s">
        <v>33</v>
      </c>
      <c r="D35" s="13" t="s">
        <v>53</v>
      </c>
      <c r="E35" s="13" t="s">
        <v>22</v>
      </c>
      <c r="F35" s="15" t="n">
        <v>0.3125</v>
      </c>
      <c r="G35" s="15" t="n">
        <v>0.5</v>
      </c>
      <c r="H35" s="13" t="n">
        <v>2</v>
      </c>
      <c r="I35" s="16" t="n">
        <f aca="false">IF(H35="","",(G35-F35)*24*H35)</f>
        <v>9</v>
      </c>
      <c r="J35" s="13"/>
    </row>
    <row r="37" customFormat="false" ht="15" hidden="false" customHeight="false" outlineLevel="0" collapsed="false">
      <c r="A37" s="5" t="s">
        <v>64</v>
      </c>
      <c r="B37" s="5"/>
      <c r="C37" s="5"/>
      <c r="D37" s="5"/>
      <c r="E37" s="5"/>
      <c r="F37" s="5"/>
      <c r="G37" s="5"/>
      <c r="H37" s="5"/>
      <c r="I37" s="6" t="n">
        <f aca="false">SUM(I38:I51)</f>
        <v>173.5</v>
      </c>
      <c r="J37" s="5"/>
    </row>
    <row r="38" customFormat="false" ht="15" hidden="false" customHeight="false" outlineLevel="0" collapsed="false">
      <c r="A38" s="7" t="n">
        <v>46325</v>
      </c>
      <c r="B38" s="8" t="s">
        <v>13</v>
      </c>
      <c r="C38" s="9" t="s">
        <v>52</v>
      </c>
      <c r="D38" s="8" t="s">
        <v>53</v>
      </c>
      <c r="E38" s="8" t="s">
        <v>54</v>
      </c>
      <c r="F38" s="10" t="n">
        <v>0.291666666666667</v>
      </c>
      <c r="G38" s="10" t="n">
        <v>0.3125</v>
      </c>
      <c r="H38" s="8" t="n">
        <v>18</v>
      </c>
      <c r="I38" s="11" t="n">
        <f aca="false">IF(H38="","",(G38-F38)*24*H38)</f>
        <v>9</v>
      </c>
      <c r="J38" s="8"/>
    </row>
    <row r="39" customFormat="false" ht="15" hidden="false" customHeight="false" outlineLevel="0" collapsed="false">
      <c r="A39" s="7" t="n">
        <v>46325</v>
      </c>
      <c r="B39" s="8" t="s">
        <v>13</v>
      </c>
      <c r="C39" s="9" t="s">
        <v>55</v>
      </c>
      <c r="D39" s="8" t="s">
        <v>53</v>
      </c>
      <c r="E39" s="8" t="s">
        <v>54</v>
      </c>
      <c r="F39" s="10" t="n">
        <v>0.291666666666667</v>
      </c>
      <c r="G39" s="10" t="n">
        <v>0.3125</v>
      </c>
      <c r="H39" s="8" t="n">
        <v>7</v>
      </c>
      <c r="I39" s="11" t="n">
        <f aca="false">IF(H39="","",(G39-F39)*24*H39)</f>
        <v>3.5</v>
      </c>
      <c r="J39" s="8"/>
    </row>
    <row r="40" customFormat="false" ht="15" hidden="false" customHeight="false" outlineLevel="0" collapsed="false">
      <c r="A40" s="7" t="n">
        <v>46325</v>
      </c>
      <c r="B40" s="8" t="s">
        <v>17</v>
      </c>
      <c r="C40" s="9" t="s">
        <v>42</v>
      </c>
      <c r="D40" s="8" t="s">
        <v>53</v>
      </c>
      <c r="E40" s="8" t="s">
        <v>54</v>
      </c>
      <c r="F40" s="10" t="n">
        <v>0.3125</v>
      </c>
      <c r="G40" s="10" t="n">
        <v>0.833333333333333</v>
      </c>
      <c r="H40" s="8" t="n">
        <v>1</v>
      </c>
      <c r="I40" s="11" t="n">
        <f aca="false">IF(H40="","",(G40-F40)*24*H40)</f>
        <v>12.5</v>
      </c>
      <c r="J40" s="8"/>
    </row>
    <row r="41" customFormat="false" ht="15" hidden="false" customHeight="false" outlineLevel="0" collapsed="false">
      <c r="A41" s="7" t="n">
        <v>46325</v>
      </c>
      <c r="B41" s="8" t="s">
        <v>17</v>
      </c>
      <c r="C41" s="9" t="s">
        <v>56</v>
      </c>
      <c r="D41" s="8" t="s">
        <v>53</v>
      </c>
      <c r="E41" s="8" t="s">
        <v>54</v>
      </c>
      <c r="F41" s="10" t="n">
        <v>0.3125</v>
      </c>
      <c r="G41" s="10" t="n">
        <v>0.833333333333333</v>
      </c>
      <c r="H41" s="8" t="n">
        <v>1</v>
      </c>
      <c r="I41" s="11" t="n">
        <f aca="false">IF(H41="","",(G41-F41)*24*H41)</f>
        <v>12.5</v>
      </c>
      <c r="J41" s="8"/>
    </row>
    <row r="42" customFormat="false" ht="15" hidden="false" customHeight="false" outlineLevel="0" collapsed="false">
      <c r="A42" s="7" t="n">
        <v>46325</v>
      </c>
      <c r="B42" s="8" t="s">
        <v>17</v>
      </c>
      <c r="C42" s="9" t="s">
        <v>57</v>
      </c>
      <c r="D42" s="8" t="s">
        <v>53</v>
      </c>
      <c r="E42" s="8" t="s">
        <v>54</v>
      </c>
      <c r="F42" s="10" t="n">
        <v>0.3125</v>
      </c>
      <c r="G42" s="10" t="n">
        <v>0.833333333333333</v>
      </c>
      <c r="H42" s="8" t="n">
        <v>1</v>
      </c>
      <c r="I42" s="11" t="n">
        <f aca="false">IF(H42="","",(G42-F42)*24*H42)</f>
        <v>12.5</v>
      </c>
      <c r="J42" s="8"/>
    </row>
    <row r="43" customFormat="false" ht="15" hidden="false" customHeight="false" outlineLevel="0" collapsed="false">
      <c r="A43" s="7" t="n">
        <v>46325</v>
      </c>
      <c r="B43" s="8" t="s">
        <v>17</v>
      </c>
      <c r="C43" s="9" t="s">
        <v>58</v>
      </c>
      <c r="D43" s="8" t="s">
        <v>53</v>
      </c>
      <c r="E43" s="8" t="s">
        <v>40</v>
      </c>
      <c r="F43" s="10" t="n">
        <v>0.3125</v>
      </c>
      <c r="G43" s="10" t="n">
        <v>0.833333333333333</v>
      </c>
      <c r="H43" s="8" t="n">
        <v>1</v>
      </c>
      <c r="I43" s="11" t="n">
        <f aca="false">IF(H43="","",(G43-F43)*24*H43)</f>
        <v>12.5</v>
      </c>
      <c r="J43" s="8"/>
    </row>
    <row r="44" customFormat="false" ht="15" hidden="false" customHeight="false" outlineLevel="0" collapsed="false">
      <c r="A44" s="7" t="n">
        <v>46325</v>
      </c>
      <c r="B44" s="8" t="s">
        <v>17</v>
      </c>
      <c r="C44" s="9" t="s">
        <v>59</v>
      </c>
      <c r="D44" s="8" t="s">
        <v>53</v>
      </c>
      <c r="E44" s="8" t="s">
        <v>54</v>
      </c>
      <c r="F44" s="10" t="n">
        <v>0.3125</v>
      </c>
      <c r="G44" s="10" t="n">
        <v>0.833333333333333</v>
      </c>
      <c r="H44" s="8" t="n">
        <v>1</v>
      </c>
      <c r="I44" s="11" t="n">
        <f aca="false">IF(H44="","",(G44-F44)*24*H44)</f>
        <v>12.5</v>
      </c>
      <c r="J44" s="8"/>
    </row>
    <row r="45" customFormat="false" ht="15" hidden="false" customHeight="false" outlineLevel="0" collapsed="false">
      <c r="A45" s="7" t="n">
        <v>46325</v>
      </c>
      <c r="B45" s="8" t="s">
        <v>17</v>
      </c>
      <c r="C45" s="9" t="s">
        <v>60</v>
      </c>
      <c r="D45" s="8" t="s">
        <v>53</v>
      </c>
      <c r="E45" s="8" t="s">
        <v>54</v>
      </c>
      <c r="F45" s="10" t="n">
        <v>0.3125</v>
      </c>
      <c r="G45" s="10" t="n">
        <v>0.833333333333333</v>
      </c>
      <c r="H45" s="8" t="n">
        <v>4</v>
      </c>
      <c r="I45" s="11" t="n">
        <f aca="false">IF(H45="","",(G45-F45)*24*H45)</f>
        <v>50</v>
      </c>
      <c r="J45" s="8"/>
    </row>
    <row r="46" customFormat="false" ht="15" hidden="false" customHeight="false" outlineLevel="0" collapsed="false">
      <c r="A46" s="7" t="n">
        <v>46325</v>
      </c>
      <c r="B46" s="8" t="s">
        <v>17</v>
      </c>
      <c r="C46" s="9" t="s">
        <v>61</v>
      </c>
      <c r="D46" s="8" t="s">
        <v>53</v>
      </c>
      <c r="E46" s="8" t="s">
        <v>54</v>
      </c>
      <c r="F46" s="10" t="n">
        <v>0.3125</v>
      </c>
      <c r="G46" s="10" t="n">
        <v>0.833333333333333</v>
      </c>
      <c r="H46" s="8" t="n">
        <v>1</v>
      </c>
      <c r="I46" s="11" t="n">
        <f aca="false">IF(H46="","",(G46-F46)*24*H46)</f>
        <v>12.5</v>
      </c>
      <c r="J46" s="8"/>
    </row>
    <row r="47" customFormat="false" ht="15" hidden="false" customHeight="false" outlineLevel="0" collapsed="false">
      <c r="A47" s="12" t="n">
        <v>46325</v>
      </c>
      <c r="B47" s="13" t="s">
        <v>23</v>
      </c>
      <c r="C47" s="14" t="s">
        <v>28</v>
      </c>
      <c r="D47" s="13" t="s">
        <v>53</v>
      </c>
      <c r="E47" s="13" t="s">
        <v>22</v>
      </c>
      <c r="F47" s="15" t="n">
        <v>0.3125</v>
      </c>
      <c r="G47" s="15" t="n">
        <v>0.5</v>
      </c>
      <c r="H47" s="13" t="n">
        <v>1</v>
      </c>
      <c r="I47" s="16" t="n">
        <f aca="false">IF(H47="","",(G47-F47)*24*H47)</f>
        <v>4.5</v>
      </c>
      <c r="J47" s="13"/>
    </row>
    <row r="48" customFormat="false" ht="15" hidden="false" customHeight="false" outlineLevel="0" collapsed="false">
      <c r="A48" s="12" t="n">
        <v>46325</v>
      </c>
      <c r="B48" s="13" t="s">
        <v>23</v>
      </c>
      <c r="C48" s="14" t="s">
        <v>29</v>
      </c>
      <c r="D48" s="13" t="s">
        <v>53</v>
      </c>
      <c r="E48" s="13" t="s">
        <v>22</v>
      </c>
      <c r="F48" s="15" t="n">
        <v>0.3125</v>
      </c>
      <c r="G48" s="15" t="n">
        <v>0.5</v>
      </c>
      <c r="H48" s="13" t="n">
        <v>3</v>
      </c>
      <c r="I48" s="16" t="n">
        <f aca="false">IF(H48="","",(G48-F48)*24*H48)</f>
        <v>13.5</v>
      </c>
      <c r="J48" s="13"/>
    </row>
    <row r="49" customFormat="false" ht="15" hidden="false" customHeight="false" outlineLevel="0" collapsed="false">
      <c r="A49" s="12" t="n">
        <v>46325</v>
      </c>
      <c r="B49" s="13" t="s">
        <v>23</v>
      </c>
      <c r="C49" s="14" t="s">
        <v>62</v>
      </c>
      <c r="D49" s="13" t="s">
        <v>53</v>
      </c>
      <c r="E49" s="13" t="s">
        <v>22</v>
      </c>
      <c r="F49" s="15" t="n">
        <v>0.3125</v>
      </c>
      <c r="G49" s="15" t="n">
        <v>0.5</v>
      </c>
      <c r="H49" s="13" t="n">
        <v>1</v>
      </c>
      <c r="I49" s="16" t="n">
        <f aca="false">IF(H49="","",(G49-F49)*24*H49)</f>
        <v>4.5</v>
      </c>
      <c r="J49" s="13"/>
    </row>
    <row r="50" customFormat="false" ht="15" hidden="false" customHeight="false" outlineLevel="0" collapsed="false">
      <c r="A50" s="12" t="n">
        <v>46325</v>
      </c>
      <c r="B50" s="13" t="s">
        <v>23</v>
      </c>
      <c r="C50" s="14" t="s">
        <v>31</v>
      </c>
      <c r="D50" s="13" t="s">
        <v>53</v>
      </c>
      <c r="E50" s="13" t="s">
        <v>22</v>
      </c>
      <c r="F50" s="15" t="n">
        <v>0.3125</v>
      </c>
      <c r="G50" s="15" t="n">
        <v>0.5</v>
      </c>
      <c r="H50" s="13" t="n">
        <v>1</v>
      </c>
      <c r="I50" s="16" t="n">
        <f aca="false">IF(H50="","",(G50-F50)*24*H50)</f>
        <v>4.5</v>
      </c>
      <c r="J50" s="13"/>
    </row>
    <row r="51" customFormat="false" ht="15" hidden="false" customHeight="false" outlineLevel="0" collapsed="false">
      <c r="A51" s="12" t="n">
        <v>46325</v>
      </c>
      <c r="B51" s="13" t="s">
        <v>23</v>
      </c>
      <c r="C51" s="14" t="s">
        <v>33</v>
      </c>
      <c r="D51" s="13" t="s">
        <v>53</v>
      </c>
      <c r="E51" s="13" t="s">
        <v>22</v>
      </c>
      <c r="F51" s="15" t="n">
        <v>0.3125</v>
      </c>
      <c r="G51" s="15" t="n">
        <v>0.5</v>
      </c>
      <c r="H51" s="13" t="n">
        <v>2</v>
      </c>
      <c r="I51" s="16" t="n">
        <f aca="false">IF(H51="","",(G51-F51)*24*H51)</f>
        <v>9</v>
      </c>
      <c r="J51" s="13"/>
    </row>
    <row r="53" customFormat="false" ht="15" hidden="false" customHeight="false" outlineLevel="0" collapsed="false">
      <c r="H53" s="17" t="s">
        <v>35</v>
      </c>
      <c r="I53" s="18" t="n">
        <f aca="false">SUMIF(A5:A52,"&gt;0",I5:I52)</f>
        <v>527.5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2026-10-30T02:45:47Z</dcterms:created>
  <dc:creator>openpyxl</dc:creator>
  <dc:description/>
  <dc:language>en-US</dc:language>
  <cp:lastModifiedBy/>
  <dcterms:modified xsi:type="dcterms:W3CDTF">2026-10-30T02:45:47Z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