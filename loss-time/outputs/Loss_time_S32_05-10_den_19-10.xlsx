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2 5-10 đến 19-10" sheetId="1" state="visible" r:id="rId1"/>
    <sheet xmlns:r="http://schemas.openxmlformats.org/officeDocument/2006/relationships" name="Theo ngày" sheetId="2" state="visible" r:id="rId2"/>
    <sheet xmlns:r="http://schemas.openxmlformats.org/officeDocument/2006/relationships" name="Nhập liệu S32" sheetId="3" state="visible" r:id="rId3"/>
    <sheet xmlns:r="http://schemas.openxmlformats.org/officeDocument/2006/relationships" name="Đối chiếu nguồn" sheetId="4" state="visible" r:id="rId4"/>
    <sheet xmlns:r="http://schemas.openxmlformats.org/officeDocument/2006/relationships" name="Chi tiết mã hàng" sheetId="5" state="visible" r:id="rId5"/>
    <sheet xmlns:r="http://schemas.openxmlformats.org/officeDocument/2006/relationships" name="Ghi chú review" sheetId="6" state="visible" r:id="rId6"/>
  </sheets>
  <definedNames>
    <definedName name="_xlnm._FilterDatabase" localSheetId="0" hidden="1">'S32 5-10 đến 19-10'!$A$2:$R$44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h:mm;@"/>
    <numFmt numFmtId="166" formatCode="dd/mm/yyyy"/>
    <numFmt numFmtId="167" formatCode="#,##0.0;-#,##0.0;-"/>
    <numFmt numFmtId="168" formatCode="#,##0.0"/>
    <numFmt numFmtId="169" formatCode="hh:mm"/>
  </numFmts>
  <fonts count="12">
    <font>
      <name val="Calibri"/>
      <family val="2"/>
      <color theme="1"/>
      <sz val="11"/>
      <scheme val="minor"/>
    </font>
    <font>
      <name val="Times New Roman"/>
      <b val="1"/>
      <sz val="15"/>
    </font>
    <font>
      <name val="Times New Roman"/>
      <b val="1"/>
      <color rgb="00FFFFFF"/>
    </font>
    <font>
      <name val="Times New Roman"/>
    </font>
    <font>
      <name val="Times New Roman"/>
      <b val="1"/>
    </font>
    <font>
      <name val="Times New Roman"/>
      <i val="1"/>
    </font>
    <font>
      <name val="Times New Roman"/>
      <b val="1"/>
      <sz val="14"/>
    </font>
    <font>
      <name val="Times New Roman"/>
      <color rgb="00000000"/>
    </font>
    <font>
      <name val="Times New Roman"/>
      <color rgb="007F7F7F"/>
    </font>
    <font>
      <name val="Times New Roman"/>
      <color rgb="000000FF"/>
    </font>
    <font>
      <name val="Times New Roman"/>
      <b val="1"/>
      <sz val="12"/>
    </font>
    <font>
      <name val="Times New Roman"/>
      <sz val="11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6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4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6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168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169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166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wrapText="1"/>
    </xf>
    <xf numFmtId="169" fontId="7" fillId="3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169" fontId="7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4" fontId="9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28" customWidth="1" min="3" max="3"/>
    <col width="10" customWidth="1" min="4" max="4"/>
    <col width="8" customWidth="1" min="5" max="5"/>
    <col width="10" customWidth="1" min="6" max="6"/>
    <col width="16" customWidth="1" min="7" max="7"/>
    <col width="8" customWidth="1" min="8" max="8"/>
    <col width="26" customWidth="1" min="9" max="9"/>
    <col width="16" customWidth="1" min="10" max="10"/>
    <col width="42" customWidth="1" min="11" max="11"/>
    <col width="36" customWidth="1" min="12" max="12"/>
    <col width="9" customWidth="1" min="13" max="13"/>
    <col width="9" customWidth="1" min="14" max="14"/>
    <col width="10" customWidth="1" min="15" max="15"/>
    <col width="8" customWidth="1" min="16" max="16"/>
    <col width="15" customWidth="1" min="17" max="17"/>
    <col width="22" customWidth="1" min="18" max="18"/>
  </cols>
  <sheetData>
    <row r="1">
      <c r="A1" s="1" t="inlineStr">
        <is>
          <t>LOSS TIME MÃ S32 (OTHER SUPPORT OF PRODUCTION) - 05/10 ĐẾN 19/10/2026 - LÀM RIÊNG, KHÔNG LẪN MÃ KHÁC</t>
        </is>
      </c>
    </row>
    <row r="2" ht="37" customHeight="1">
      <c r="A2" s="2" t="inlineStr">
        <is>
          <t>Week</t>
        </is>
      </c>
      <c r="B2" s="2" t="inlineStr">
        <is>
          <t>Date 
(Ngày)</t>
        </is>
      </c>
      <c r="C2" s="2" t="inlineStr">
        <is>
          <t>Item's
Mã hàng</t>
        </is>
      </c>
      <c r="D2" s="2" t="inlineStr">
        <is>
          <t>Code Máy Hư</t>
        </is>
      </c>
      <c r="E2" s="2" t="inlineStr">
        <is>
          <t>Q'ty</t>
        </is>
      </c>
      <c r="F2" s="2" t="inlineStr">
        <is>
          <t>Số NCR/ME</t>
        </is>
      </c>
      <c r="G2" s="2" t="inlineStr">
        <is>
          <t>Khu vực phát sinh/bộ phận hỗ trợ</t>
        </is>
      </c>
      <c r="H2" s="2" t="inlineStr">
        <is>
          <t>Code</t>
        </is>
      </c>
      <c r="I2" s="2" t="inlineStr">
        <is>
          <t>Name code</t>
        </is>
      </c>
      <c r="J2" s="2" t="inlineStr">
        <is>
          <t>Chart / bộ phận chịu trách nhiệm</t>
        </is>
      </c>
      <c r="K2" s="2" t="inlineStr">
        <is>
          <t>Lí Do</t>
        </is>
      </c>
      <c r="L2" s="2" t="inlineStr">
        <is>
          <t>Ghi chú</t>
        </is>
      </c>
      <c r="M2" s="2" t="inlineStr">
        <is>
          <t>From</t>
        </is>
      </c>
      <c r="N2" s="2" t="inlineStr">
        <is>
          <t>To</t>
        </is>
      </c>
      <c r="O2" s="2" t="inlineStr">
        <is>
          <t>LossTime (Hr)</t>
        </is>
      </c>
      <c r="P2" s="2" t="inlineStr">
        <is>
          <t>HC</t>
        </is>
      </c>
      <c r="Q2" s="2" t="inlineStr">
        <is>
          <t>Loss time labor (Hrs)</t>
        </is>
      </c>
      <c r="R2" s="2" t="inlineStr">
        <is>
          <t>Nguồn</t>
        </is>
      </c>
    </row>
    <row r="3">
      <c r="A3" s="3">
        <f>"W"&amp;WEEKNUM(B3,21)</f>
        <v/>
      </c>
      <c r="B3" s="4" t="n">
        <v>46300</v>
      </c>
      <c r="C3" s="5" t="inlineStr">
        <is>
          <t>CZ842F188+CZ842F381+CZ842F409</t>
        </is>
      </c>
      <c r="D3" s="3" t="n"/>
      <c r="E3" s="3" t="n">
        <v>25</v>
      </c>
      <c r="F3" s="3" t="n"/>
      <c r="G3" s="3" t="inlineStr">
        <is>
          <t>RC - PANEL</t>
        </is>
      </c>
      <c r="H3" s="3" t="inlineStr">
        <is>
          <t>S32</t>
        </is>
      </c>
      <c r="I3" s="5" t="inlineStr">
        <is>
          <t>Other Support of Production</t>
        </is>
      </c>
      <c r="J3" s="3" t="inlineStr">
        <is>
          <t>P1</t>
        </is>
      </c>
      <c r="K3" s="5" t="inlineStr">
        <is>
          <t>Hỗ trợ P1 ép nóng</t>
        </is>
      </c>
      <c r="L3" s="5" t="inlineStr">
        <is>
          <t>Hỗ trợ P1 (3 mã hàng, 1 ca)</t>
        </is>
      </c>
      <c r="M3" s="6" t="n">
        <v>0.2708333333333333</v>
      </c>
      <c r="N3" s="6" t="n">
        <v>0.4375</v>
      </c>
      <c r="O3" s="7">
        <f>(N3-M3)*24</f>
        <v/>
      </c>
      <c r="P3" s="3" t="n">
        <v>4</v>
      </c>
      <c r="Q3" s="7">
        <f>P3*O3</f>
        <v/>
      </c>
      <c r="R3" s="3" t="inlineStr">
        <is>
          <t>File Ép nóng</t>
        </is>
      </c>
    </row>
    <row r="4">
      <c r="A4" s="3">
        <f>"W"&amp;WEEKNUM(B4,21)</f>
        <v/>
      </c>
      <c r="B4" s="4" t="n">
        <v>46300</v>
      </c>
      <c r="C4" s="5" t="inlineStr">
        <is>
          <t>CE517F992-TOP+CE592F1222-TOP</t>
        </is>
      </c>
      <c r="D4" s="3" t="n"/>
      <c r="E4" s="3" t="n">
        <v>50</v>
      </c>
      <c r="F4" s="3" t="n"/>
      <c r="G4" s="3" t="inlineStr">
        <is>
          <t>RC - PANEL</t>
        </is>
      </c>
      <c r="H4" s="3" t="inlineStr">
        <is>
          <t>S32</t>
        </is>
      </c>
      <c r="I4" s="5" t="inlineStr">
        <is>
          <t>Other Support of Production</t>
        </is>
      </c>
      <c r="J4" s="3" t="inlineStr">
        <is>
          <t>P1</t>
        </is>
      </c>
      <c r="K4" s="5" t="inlineStr">
        <is>
          <t>Hỗ trợ P1 ép nóng - ép lót</t>
        </is>
      </c>
      <c r="L4" s="5" t="inlineStr">
        <is>
          <t>Ép lót (2 mã hàng)</t>
        </is>
      </c>
      <c r="M4" s="6" t="n">
        <v>0.2916666666666667</v>
      </c>
      <c r="N4" s="6" t="n">
        <v>0.5416666666666666</v>
      </c>
      <c r="O4" s="7">
        <f>(N4-M4)*24</f>
        <v/>
      </c>
      <c r="P4" s="3" t="n">
        <v>5</v>
      </c>
      <c r="Q4" s="7">
        <f>P4*O4</f>
        <v/>
      </c>
      <c r="R4" s="3" t="inlineStr">
        <is>
          <t>File Ép nóng</t>
        </is>
      </c>
    </row>
    <row r="5">
      <c r="A5" s="3">
        <f>"W"&amp;WEEKNUM(B5,21)</f>
        <v/>
      </c>
      <c r="B5" s="4" t="n">
        <v>46300</v>
      </c>
      <c r="C5" s="5" t="n"/>
      <c r="D5" s="3" t="n"/>
      <c r="E5" s="3" t="n"/>
      <c r="F5" s="3" t="n"/>
      <c r="G5" s="3" t="inlineStr">
        <is>
          <t>RC - PANEL</t>
        </is>
      </c>
      <c r="H5" s="3" t="inlineStr">
        <is>
          <t>S32</t>
        </is>
      </c>
      <c r="I5" s="5" t="inlineStr">
        <is>
          <t>Other Support of Production</t>
        </is>
      </c>
      <c r="J5" s="3" t="inlineStr">
        <is>
          <t>Finishing</t>
        </is>
      </c>
      <c r="K5" s="5" t="inlineStr">
        <is>
          <t>Không có bomtime chuyền UV</t>
        </is>
      </c>
      <c r="L5" s="5" t="inlineStr">
        <is>
          <t>HC làm việc (ca thường)</t>
        </is>
      </c>
      <c r="M5" s="6" t="n">
        <v>0.3125</v>
      </c>
      <c r="N5" s="6" t="n">
        <v>0.6458333333333334</v>
      </c>
      <c r="O5" s="7">
        <f>(N5-M5)*24</f>
        <v/>
      </c>
      <c r="P5" s="3" t="n">
        <v>11</v>
      </c>
      <c r="Q5" s="7">
        <f>P5*O5</f>
        <v/>
      </c>
      <c r="R5" s="3" t="inlineStr">
        <is>
          <t>File UV (báo cáo ngày)</t>
        </is>
      </c>
    </row>
    <row r="6">
      <c r="A6" s="3">
        <f>"W"&amp;WEEKNUM(B6,21)</f>
        <v/>
      </c>
      <c r="B6" s="4" t="n">
        <v>46300</v>
      </c>
      <c r="C6" s="5" t="n"/>
      <c r="D6" s="3" t="n"/>
      <c r="E6" s="3" t="n"/>
      <c r="F6" s="3" t="n"/>
      <c r="G6" s="3" t="inlineStr">
        <is>
          <t>RC - PANEL</t>
        </is>
      </c>
      <c r="H6" s="3" t="inlineStr">
        <is>
          <t>S32</t>
        </is>
      </c>
      <c r="I6" s="5" t="inlineStr">
        <is>
          <t>Other Support of Production</t>
        </is>
      </c>
      <c r="J6" s="3" t="inlineStr">
        <is>
          <t>Finishing</t>
        </is>
      </c>
      <c r="K6" s="5" t="inlineStr">
        <is>
          <t>Không có bomtime chuyền UV</t>
        </is>
      </c>
      <c r="L6" s="5" t="inlineStr">
        <is>
          <t>HC tăng ca (OT 4 giờ)</t>
        </is>
      </c>
      <c r="M6" s="6" t="n">
        <v>0.6458333333333334</v>
      </c>
      <c r="N6" s="6" t="n">
        <v>0.8125</v>
      </c>
      <c r="O6" s="7">
        <f>(N6-M6)*24</f>
        <v/>
      </c>
      <c r="P6" s="3" t="n">
        <v>8</v>
      </c>
      <c r="Q6" s="7">
        <f>P6*O6</f>
        <v/>
      </c>
      <c r="R6" s="3" t="inlineStr">
        <is>
          <t>File UV (báo cáo ngày)</t>
        </is>
      </c>
    </row>
    <row r="7">
      <c r="A7" s="3">
        <f>"W"&amp;WEEKNUM(B7,21)</f>
        <v/>
      </c>
      <c r="B7" s="4" t="n">
        <v>46301</v>
      </c>
      <c r="C7" s="5" t="inlineStr">
        <is>
          <t>CE517F992-TOP+CE592F1222-TOP</t>
        </is>
      </c>
      <c r="D7" s="3" t="n"/>
      <c r="E7" s="3" t="n">
        <v>50</v>
      </c>
      <c r="F7" s="3" t="n"/>
      <c r="G7" s="3" t="inlineStr">
        <is>
          <t>RC - PANEL</t>
        </is>
      </c>
      <c r="H7" s="3" t="inlineStr">
        <is>
          <t>S32</t>
        </is>
      </c>
      <c r="I7" s="5" t="inlineStr">
        <is>
          <t>Other Support of Production</t>
        </is>
      </c>
      <c r="J7" s="3" t="inlineStr">
        <is>
          <t>P1</t>
        </is>
      </c>
      <c r="K7" s="5" t="inlineStr">
        <is>
          <t>Hỗ trợ P1 ép nóng - ép chính</t>
        </is>
      </c>
      <c r="L7" s="5" t="inlineStr">
        <is>
          <t>Ép chính (2 mã hàng)</t>
        </is>
      </c>
      <c r="M7" s="6" t="n">
        <v>0.2916666666666667</v>
      </c>
      <c r="N7" s="6" t="n">
        <v>0.75</v>
      </c>
      <c r="O7" s="7">
        <f>(N7-M7)*24</f>
        <v/>
      </c>
      <c r="P7" s="3" t="n">
        <v>5</v>
      </c>
      <c r="Q7" s="7">
        <f>P7*O7</f>
        <v/>
      </c>
      <c r="R7" s="3" t="inlineStr">
        <is>
          <t>File Ép nóng</t>
        </is>
      </c>
    </row>
    <row r="8">
      <c r="A8" s="3">
        <f>"W"&amp;WEEKNUM(B8,21)</f>
        <v/>
      </c>
      <c r="B8" s="4" t="n">
        <v>46301</v>
      </c>
      <c r="C8" s="5" t="n"/>
      <c r="D8" s="3" t="n"/>
      <c r="E8" s="3" t="n"/>
      <c r="F8" s="3" t="n"/>
      <c r="G8" s="3" t="inlineStr">
        <is>
          <t>RC - PANEL</t>
        </is>
      </c>
      <c r="H8" s="3" t="inlineStr">
        <is>
          <t>S32</t>
        </is>
      </c>
      <c r="I8" s="5" t="inlineStr">
        <is>
          <t>Other Support of Production</t>
        </is>
      </c>
      <c r="J8" s="3" t="inlineStr">
        <is>
          <t>Finishing</t>
        </is>
      </c>
      <c r="K8" s="5" t="inlineStr">
        <is>
          <t>Không có bomtime chuyền UV</t>
        </is>
      </c>
      <c r="L8" s="5" t="inlineStr">
        <is>
          <t>HC làm việc (ca thường)</t>
        </is>
      </c>
      <c r="M8" s="6" t="n">
        <v>0.3125</v>
      </c>
      <c r="N8" s="6" t="n">
        <v>0.6458333333333334</v>
      </c>
      <c r="O8" s="7">
        <f>(N8-M8)*24</f>
        <v/>
      </c>
      <c r="P8" s="3" t="n">
        <v>11</v>
      </c>
      <c r="Q8" s="7">
        <f>P8*O8</f>
        <v/>
      </c>
      <c r="R8" s="3" t="inlineStr">
        <is>
          <t>File UV (báo cáo ngày)</t>
        </is>
      </c>
    </row>
    <row r="9">
      <c r="A9" s="3">
        <f>"W"&amp;WEEKNUM(B9,21)</f>
        <v/>
      </c>
      <c r="B9" s="4" t="n">
        <v>46301</v>
      </c>
      <c r="C9" s="5" t="n"/>
      <c r="D9" s="3" t="n"/>
      <c r="E9" s="3" t="n"/>
      <c r="F9" s="3" t="n"/>
      <c r="G9" s="3" t="inlineStr">
        <is>
          <t>RC - PANEL</t>
        </is>
      </c>
      <c r="H9" s="3" t="inlineStr">
        <is>
          <t>S32</t>
        </is>
      </c>
      <c r="I9" s="5" t="inlineStr">
        <is>
          <t>Other Support of Production</t>
        </is>
      </c>
      <c r="J9" s="3" t="inlineStr">
        <is>
          <t>Finishing</t>
        </is>
      </c>
      <c r="K9" s="5" t="inlineStr">
        <is>
          <t>Không có bomtime chuyền UV</t>
        </is>
      </c>
      <c r="L9" s="5" t="inlineStr">
        <is>
          <t>HC tăng ca (OT 4 giờ)</t>
        </is>
      </c>
      <c r="M9" s="6" t="n">
        <v>0.6458333333333334</v>
      </c>
      <c r="N9" s="6" t="n">
        <v>0.8125</v>
      </c>
      <c r="O9" s="7">
        <f>(N9-M9)*24</f>
        <v/>
      </c>
      <c r="P9" s="3" t="n">
        <v>8</v>
      </c>
      <c r="Q9" s="7">
        <f>P9*O9</f>
        <v/>
      </c>
      <c r="R9" s="3" t="inlineStr">
        <is>
          <t>File UV (báo cáo ngày)</t>
        </is>
      </c>
    </row>
    <row r="10">
      <c r="A10" s="3">
        <f>"W"&amp;WEEKNUM(B10,21)</f>
        <v/>
      </c>
      <c r="B10" s="4" t="n">
        <v>46302</v>
      </c>
      <c r="C10" s="5" t="n"/>
      <c r="D10" s="3" t="n"/>
      <c r="E10" s="3" t="n"/>
      <c r="F10" s="3" t="n"/>
      <c r="G10" s="3" t="inlineStr">
        <is>
          <t>RC - PANEL</t>
        </is>
      </c>
      <c r="H10" s="3" t="inlineStr">
        <is>
          <t>S32</t>
        </is>
      </c>
      <c r="I10" s="5" t="inlineStr">
        <is>
          <t>Other Support of Production</t>
        </is>
      </c>
      <c r="J10" s="3" t="inlineStr">
        <is>
          <t>Finishing</t>
        </is>
      </c>
      <c r="K10" s="5" t="inlineStr">
        <is>
          <t>Không có bomtime chuyền UV</t>
        </is>
      </c>
      <c r="L10" s="5" t="inlineStr">
        <is>
          <t>HC làm việc (ca thường)</t>
        </is>
      </c>
      <c r="M10" s="6" t="n">
        <v>0.3125</v>
      </c>
      <c r="N10" s="6" t="n">
        <v>0.6458333333333334</v>
      </c>
      <c r="O10" s="7">
        <f>(N10-M10)*24</f>
        <v/>
      </c>
      <c r="P10" s="3" t="n">
        <v>10</v>
      </c>
      <c r="Q10" s="7">
        <f>P10*O10</f>
        <v/>
      </c>
      <c r="R10" s="3" t="inlineStr">
        <is>
          <t>File UV (báo cáo ngày)</t>
        </is>
      </c>
    </row>
    <row r="11">
      <c r="A11" s="3">
        <f>"W"&amp;WEEKNUM(B11,21)</f>
        <v/>
      </c>
      <c r="B11" s="4" t="n">
        <v>46302</v>
      </c>
      <c r="C11" s="5" t="n"/>
      <c r="D11" s="3" t="n"/>
      <c r="E11" s="3" t="n"/>
      <c r="F11" s="3" t="n"/>
      <c r="G11" s="3" t="inlineStr">
        <is>
          <t>RC - PANEL</t>
        </is>
      </c>
      <c r="H11" s="3" t="inlineStr">
        <is>
          <t>S32</t>
        </is>
      </c>
      <c r="I11" s="5" t="inlineStr">
        <is>
          <t>Other Support of Production</t>
        </is>
      </c>
      <c r="J11" s="3" t="inlineStr">
        <is>
          <t>Finishing</t>
        </is>
      </c>
      <c r="K11" s="5" t="inlineStr">
        <is>
          <t>Không có bomtime chuyền UV</t>
        </is>
      </c>
      <c r="L11" s="5" t="inlineStr">
        <is>
          <t>HC tăng ca (OT 4 giờ)</t>
        </is>
      </c>
      <c r="M11" s="6" t="n">
        <v>0.6458333333333334</v>
      </c>
      <c r="N11" s="6" t="n">
        <v>0.8125</v>
      </c>
      <c r="O11" s="7">
        <f>(N11-M11)*24</f>
        <v/>
      </c>
      <c r="P11" s="3" t="n">
        <v>8</v>
      </c>
      <c r="Q11" s="7">
        <f>P11*O11</f>
        <v/>
      </c>
      <c r="R11" s="3" t="inlineStr">
        <is>
          <t>File UV (báo cáo ngày)</t>
        </is>
      </c>
    </row>
    <row r="12">
      <c r="A12" s="3">
        <f>"W"&amp;WEEKNUM(B12,21)</f>
        <v/>
      </c>
      <c r="B12" s="4" t="n">
        <v>46303</v>
      </c>
      <c r="C12" s="5" t="n"/>
      <c r="D12" s="3" t="n"/>
      <c r="E12" s="3" t="n"/>
      <c r="F12" s="3" t="n"/>
      <c r="G12" s="3" t="inlineStr">
        <is>
          <t>RC - PANEL</t>
        </is>
      </c>
      <c r="H12" s="3" t="inlineStr">
        <is>
          <t>S32</t>
        </is>
      </c>
      <c r="I12" s="5" t="inlineStr">
        <is>
          <t>Other Support of Production</t>
        </is>
      </c>
      <c r="J12" s="3" t="inlineStr">
        <is>
          <t>Finishing</t>
        </is>
      </c>
      <c r="K12" s="5" t="inlineStr">
        <is>
          <t>Không có bomtime chuyền UV</t>
        </is>
      </c>
      <c r="L12" s="5" t="inlineStr">
        <is>
          <t>HC làm việc (ca thường)</t>
        </is>
      </c>
      <c r="M12" s="6" t="n">
        <v>0.3125</v>
      </c>
      <c r="N12" s="6" t="n">
        <v>0.6458333333333334</v>
      </c>
      <c r="O12" s="7">
        <f>(N12-M12)*24</f>
        <v/>
      </c>
      <c r="P12" s="3" t="n">
        <v>10</v>
      </c>
      <c r="Q12" s="7">
        <f>P12*O12</f>
        <v/>
      </c>
      <c r="R12" s="3" t="inlineStr">
        <is>
          <t>File UV (báo cáo ngày)</t>
        </is>
      </c>
    </row>
    <row r="13">
      <c r="A13" s="3">
        <f>"W"&amp;WEEKNUM(B13,21)</f>
        <v/>
      </c>
      <c r="B13" s="4" t="n">
        <v>46303</v>
      </c>
      <c r="C13" s="5" t="n"/>
      <c r="D13" s="3" t="n"/>
      <c r="E13" s="3" t="n"/>
      <c r="F13" s="3" t="n"/>
      <c r="G13" s="3" t="inlineStr">
        <is>
          <t>RC - PANEL</t>
        </is>
      </c>
      <c r="H13" s="3" t="inlineStr">
        <is>
          <t>S32</t>
        </is>
      </c>
      <c r="I13" s="5" t="inlineStr">
        <is>
          <t>Other Support of Production</t>
        </is>
      </c>
      <c r="J13" s="3" t="inlineStr">
        <is>
          <t>Finishing</t>
        </is>
      </c>
      <c r="K13" s="5" t="inlineStr">
        <is>
          <t>Không có bomtime chuyền UV</t>
        </is>
      </c>
      <c r="L13" s="5" t="inlineStr">
        <is>
          <t>HC tăng ca (OT 4 giờ)</t>
        </is>
      </c>
      <c r="M13" s="6" t="n">
        <v>0.6458333333333334</v>
      </c>
      <c r="N13" s="6" t="n">
        <v>0.8125</v>
      </c>
      <c r="O13" s="7">
        <f>(N13-M13)*24</f>
        <v/>
      </c>
      <c r="P13" s="3" t="n">
        <v>6</v>
      </c>
      <c r="Q13" s="7">
        <f>P13*O13</f>
        <v/>
      </c>
      <c r="R13" s="3" t="inlineStr">
        <is>
          <t>File UV (báo cáo ngày)</t>
        </is>
      </c>
    </row>
    <row r="14">
      <c r="A14" s="3">
        <f>"W"&amp;WEEKNUM(B14,21)</f>
        <v/>
      </c>
      <c r="B14" s="4" t="n">
        <v>46303</v>
      </c>
      <c r="C14" s="5" t="inlineStr">
        <is>
          <t>RH9949F425</t>
        </is>
      </c>
      <c r="D14" s="3" t="n"/>
      <c r="E14" s="3" t="n">
        <v>1</v>
      </c>
      <c r="F14" s="3" t="n"/>
      <c r="G14" s="3" t="inlineStr">
        <is>
          <t>RC - PANEL</t>
        </is>
      </c>
      <c r="H14" s="3" t="inlineStr">
        <is>
          <t>S32</t>
        </is>
      </c>
      <c r="I14" s="5" t="inlineStr">
        <is>
          <t>Other Support of Production</t>
        </is>
      </c>
      <c r="J14" s="3" t="inlineStr">
        <is>
          <t>Machining</t>
        </is>
      </c>
      <c r="K14" s="5" t="inlineStr">
        <is>
          <t>Beam saw - phát sinh (chi tiết P08-1)</t>
        </is>
      </c>
      <c r="L14" s="5" t="inlineStr">
        <is>
          <t>STT 292</t>
        </is>
      </c>
      <c r="M14" s="6" t="n">
        <v>0.7916666666666666</v>
      </c>
      <c r="N14" s="6" t="n">
        <v>0.7930555555555555</v>
      </c>
      <c r="O14" s="7">
        <f>(N14-M14)*24</f>
        <v/>
      </c>
      <c r="P14" s="3" t="n">
        <v>3</v>
      </c>
      <c r="Q14" s="7">
        <f>P14*O14</f>
        <v/>
      </c>
      <c r="R14" s="3" t="inlineStr">
        <is>
          <t>File Beam saw</t>
        </is>
      </c>
    </row>
    <row r="15">
      <c r="A15" s="3">
        <f>"W"&amp;WEEKNUM(B15,21)</f>
        <v/>
      </c>
      <c r="B15" s="4" t="n">
        <v>46303</v>
      </c>
      <c r="C15" s="5" t="inlineStr">
        <is>
          <t>RH9339F423</t>
        </is>
      </c>
      <c r="D15" s="3" t="n"/>
      <c r="E15" s="3" t="n">
        <v>1</v>
      </c>
      <c r="F15" s="3" t="n"/>
      <c r="G15" s="3" t="inlineStr">
        <is>
          <t>RC - PANEL</t>
        </is>
      </c>
      <c r="H15" s="3" t="inlineStr">
        <is>
          <t>S32</t>
        </is>
      </c>
      <c r="I15" s="5" t="inlineStr">
        <is>
          <t>Other Support of Production</t>
        </is>
      </c>
      <c r="J15" s="3" t="inlineStr">
        <is>
          <t>Machining</t>
        </is>
      </c>
      <c r="K15" s="5" t="inlineStr">
        <is>
          <t>Beam saw - phát sinh (chi tiết P01-1)</t>
        </is>
      </c>
      <c r="L15" s="5" t="inlineStr">
        <is>
          <t>STT 293</t>
        </is>
      </c>
      <c r="M15" s="6" t="n">
        <v>0.7951388888888888</v>
      </c>
      <c r="N15" s="6" t="n">
        <v>0.7965277777777777</v>
      </c>
      <c r="O15" s="7">
        <f>(N15-M15)*24</f>
        <v/>
      </c>
      <c r="P15" s="3" t="n">
        <v>3</v>
      </c>
      <c r="Q15" s="7">
        <f>P15*O15</f>
        <v/>
      </c>
      <c r="R15" s="3" t="inlineStr">
        <is>
          <t>File Beam saw</t>
        </is>
      </c>
    </row>
    <row r="16">
      <c r="A16" s="3">
        <f>"W"&amp;WEEKNUM(B16,21)</f>
        <v/>
      </c>
      <c r="B16" s="4" t="n">
        <v>46304</v>
      </c>
      <c r="C16" s="5" t="n"/>
      <c r="D16" s="3" t="n"/>
      <c r="E16" s="3" t="n"/>
      <c r="F16" s="3" t="n"/>
      <c r="G16" s="3" t="inlineStr">
        <is>
          <t>RC - PANEL</t>
        </is>
      </c>
      <c r="H16" s="3" t="inlineStr">
        <is>
          <t>S32</t>
        </is>
      </c>
      <c r="I16" s="5" t="inlineStr">
        <is>
          <t>Other Support of Production</t>
        </is>
      </c>
      <c r="J16" s="3" t="inlineStr">
        <is>
          <t>Finishing</t>
        </is>
      </c>
      <c r="K16" s="5" t="inlineStr">
        <is>
          <t>Không có bomtime chuyền UV</t>
        </is>
      </c>
      <c r="L16" s="5" t="inlineStr">
        <is>
          <t>HC làm việc (ca thường)</t>
        </is>
      </c>
      <c r="M16" s="6" t="n">
        <v>0.3125</v>
      </c>
      <c r="N16" s="6" t="n">
        <v>0.6458333333333334</v>
      </c>
      <c r="O16" s="7">
        <f>(N16-M16)*24</f>
        <v/>
      </c>
      <c r="P16" s="3" t="n">
        <v>12</v>
      </c>
      <c r="Q16" s="7">
        <f>P16*O16</f>
        <v/>
      </c>
      <c r="R16" s="3" t="inlineStr">
        <is>
          <t>File UV (báo cáo ngày)</t>
        </is>
      </c>
    </row>
    <row r="17">
      <c r="A17" s="3">
        <f>"W"&amp;WEEKNUM(B17,21)</f>
        <v/>
      </c>
      <c r="B17" s="4" t="n">
        <v>46304</v>
      </c>
      <c r="C17" s="5" t="n"/>
      <c r="D17" s="3" t="n"/>
      <c r="E17" s="3" t="n"/>
      <c r="F17" s="3" t="n"/>
      <c r="G17" s="3" t="inlineStr">
        <is>
          <t>RC - PANEL</t>
        </is>
      </c>
      <c r="H17" s="3" t="inlineStr">
        <is>
          <t>S32</t>
        </is>
      </c>
      <c r="I17" s="5" t="inlineStr">
        <is>
          <t>Other Support of Production</t>
        </is>
      </c>
      <c r="J17" s="3" t="inlineStr">
        <is>
          <t>Finishing</t>
        </is>
      </c>
      <c r="K17" s="5" t="inlineStr">
        <is>
          <t>Không có bomtime chuyền UV</t>
        </is>
      </c>
      <c r="L17" s="5" t="inlineStr">
        <is>
          <t>HC tăng ca (OT 4 giờ)</t>
        </is>
      </c>
      <c r="M17" s="6" t="n">
        <v>0.6458333333333334</v>
      </c>
      <c r="N17" s="6" t="n">
        <v>0.8125</v>
      </c>
      <c r="O17" s="7">
        <f>(N17-M17)*24</f>
        <v/>
      </c>
      <c r="P17" s="3" t="n">
        <v>9</v>
      </c>
      <c r="Q17" s="7">
        <f>P17*O17</f>
        <v/>
      </c>
      <c r="R17" s="3" t="inlineStr">
        <is>
          <t>File UV (báo cáo ngày)</t>
        </is>
      </c>
    </row>
    <row r="18">
      <c r="A18" s="3">
        <f>"W"&amp;WEEKNUM(B18,21)</f>
        <v/>
      </c>
      <c r="B18" s="4" t="n">
        <v>46304</v>
      </c>
      <c r="C18" s="5" t="inlineStr">
        <is>
          <t>RH7340F383</t>
        </is>
      </c>
      <c r="D18" s="3" t="n"/>
      <c r="E18" s="3" t="n">
        <v>1</v>
      </c>
      <c r="F18" s="3" t="n"/>
      <c r="G18" s="3" t="inlineStr">
        <is>
          <t>RC - PANEL</t>
        </is>
      </c>
      <c r="H18" s="3" t="inlineStr">
        <is>
          <t>S32</t>
        </is>
      </c>
      <c r="I18" s="5" t="inlineStr">
        <is>
          <t>Other Support of Production</t>
        </is>
      </c>
      <c r="J18" s="3" t="inlineStr">
        <is>
          <t>Machining</t>
        </is>
      </c>
      <c r="K18" s="5" t="inlineStr">
        <is>
          <t>Beam saw - phát sinh (chi tiết A3-S01)</t>
        </is>
      </c>
      <c r="L18" s="5" t="inlineStr">
        <is>
          <t>STT 294</t>
        </is>
      </c>
      <c r="M18" s="6" t="n">
        <v>0.3333333333333333</v>
      </c>
      <c r="N18" s="6" t="n">
        <v>0.3347222222222222</v>
      </c>
      <c r="O18" s="7">
        <f>(N18-M18)*24</f>
        <v/>
      </c>
      <c r="P18" s="3" t="n">
        <v>3</v>
      </c>
      <c r="Q18" s="7">
        <f>P18*O18</f>
        <v/>
      </c>
      <c r="R18" s="3" t="inlineStr">
        <is>
          <t>File Beam saw</t>
        </is>
      </c>
    </row>
    <row r="19">
      <c r="A19" s="3">
        <f>"W"&amp;WEEKNUM(B19,21)</f>
        <v/>
      </c>
      <c r="B19" s="4" t="n">
        <v>46304</v>
      </c>
      <c r="C19" s="5" t="inlineStr">
        <is>
          <t>RH7150F409</t>
        </is>
      </c>
      <c r="D19" s="3" t="n"/>
      <c r="E19" s="3" t="n">
        <v>1</v>
      </c>
      <c r="F19" s="3" t="n"/>
      <c r="G19" s="3" t="inlineStr">
        <is>
          <t>RC - PANEL</t>
        </is>
      </c>
      <c r="H19" s="3" t="inlineStr">
        <is>
          <t>S32</t>
        </is>
      </c>
      <c r="I19" s="5" t="inlineStr">
        <is>
          <t>Other Support of Production</t>
        </is>
      </c>
      <c r="J19" s="3" t="inlineStr">
        <is>
          <t>Machining</t>
        </is>
      </c>
      <c r="K19" s="5" t="inlineStr">
        <is>
          <t>Beam saw - phát sinh (chi tiết P01)</t>
        </is>
      </c>
      <c r="L19" s="5" t="inlineStr">
        <is>
          <t>STT 295</t>
        </is>
      </c>
      <c r="M19" s="6" t="n">
        <v>0.3347222222222222</v>
      </c>
      <c r="N19" s="6" t="n">
        <v>0.3361111111111111</v>
      </c>
      <c r="O19" s="7">
        <f>(N19-M19)*24</f>
        <v/>
      </c>
      <c r="P19" s="3" t="n">
        <v>3</v>
      </c>
      <c r="Q19" s="7">
        <f>P19*O19</f>
        <v/>
      </c>
      <c r="R19" s="3" t="inlineStr">
        <is>
          <t>File Beam saw</t>
        </is>
      </c>
    </row>
    <row r="20">
      <c r="A20" s="3">
        <f>"W"&amp;WEEKNUM(B20,21)</f>
        <v/>
      </c>
      <c r="B20" s="4" t="n">
        <v>46304</v>
      </c>
      <c r="C20" s="5" t="inlineStr">
        <is>
          <t>AR1368F1330</t>
        </is>
      </c>
      <c r="D20" s="3" t="n"/>
      <c r="E20" s="3" t="n">
        <v>4</v>
      </c>
      <c r="F20" s="3" t="n"/>
      <c r="G20" s="3" t="inlineStr">
        <is>
          <t>RC - PANEL</t>
        </is>
      </c>
      <c r="H20" s="3" t="inlineStr">
        <is>
          <t>S32</t>
        </is>
      </c>
      <c r="I20" s="5" t="inlineStr">
        <is>
          <t>Other Support of Production</t>
        </is>
      </c>
      <c r="J20" s="3" t="inlineStr">
        <is>
          <t>QC</t>
        </is>
      </c>
      <c r="K20" s="5" t="inlineStr">
        <is>
          <t>Beam saw - phát sinh (chi tiết P12)</t>
        </is>
      </c>
      <c r="L20" s="5" t="inlineStr">
        <is>
          <t>Charge to: QA do không test lúc sample</t>
        </is>
      </c>
      <c r="M20" s="6" t="n">
        <v>0.3402777777777778</v>
      </c>
      <c r="N20" s="6" t="n">
        <v>0.3444444444444444</v>
      </c>
      <c r="O20" s="7">
        <f>(N20-M20)*24</f>
        <v/>
      </c>
      <c r="P20" s="3" t="n">
        <v>3</v>
      </c>
      <c r="Q20" s="7">
        <f>P20*O20</f>
        <v/>
      </c>
      <c r="R20" s="3" t="inlineStr">
        <is>
          <t>File Beam saw</t>
        </is>
      </c>
    </row>
    <row r="21">
      <c r="A21" s="3">
        <f>"W"&amp;WEEKNUM(B21,21)</f>
        <v/>
      </c>
      <c r="B21" s="4" t="n">
        <v>46304</v>
      </c>
      <c r="C21" s="5" t="inlineStr">
        <is>
          <t>AR1001F1001</t>
        </is>
      </c>
      <c r="D21" s="3" t="n"/>
      <c r="E21" s="3" t="n">
        <v>1</v>
      </c>
      <c r="F21" s="3" t="n"/>
      <c r="G21" s="3" t="inlineStr">
        <is>
          <t>RC - PANEL</t>
        </is>
      </c>
      <c r="H21" s="3" t="inlineStr">
        <is>
          <t>S32</t>
        </is>
      </c>
      <c r="I21" s="5" t="inlineStr">
        <is>
          <t>Other Support of Production</t>
        </is>
      </c>
      <c r="J21" s="3" t="inlineStr">
        <is>
          <t>Machining</t>
        </is>
      </c>
      <c r="K21" s="5" t="inlineStr">
        <is>
          <t>Beam saw - phát sinh (chi tiết A1-S02)</t>
        </is>
      </c>
      <c r="L21" s="5" t="inlineStr">
        <is>
          <t>STT 297</t>
        </is>
      </c>
      <c r="M21" s="6" t="n">
        <v>0.75</v>
      </c>
      <c r="N21" s="6" t="n">
        <v>0.7513888888888889</v>
      </c>
      <c r="O21" s="7">
        <f>(N21-M21)*24</f>
        <v/>
      </c>
      <c r="P21" s="3" t="n">
        <v>3</v>
      </c>
      <c r="Q21" s="7">
        <f>P21*O21</f>
        <v/>
      </c>
      <c r="R21" s="3" t="inlineStr">
        <is>
          <t>File Beam saw</t>
        </is>
      </c>
    </row>
    <row r="22">
      <c r="A22" s="3">
        <f>"W"&amp;WEEKNUM(B22,21)</f>
        <v/>
      </c>
      <c r="B22" s="4" t="n">
        <v>46305</v>
      </c>
      <c r="C22" s="5" t="n"/>
      <c r="D22" s="3" t="n"/>
      <c r="E22" s="3" t="n"/>
      <c r="F22" s="3" t="n"/>
      <c r="G22" s="3" t="inlineStr">
        <is>
          <t>RC - PANEL</t>
        </is>
      </c>
      <c r="H22" s="3" t="inlineStr">
        <is>
          <t>S32</t>
        </is>
      </c>
      <c r="I22" s="5" t="inlineStr">
        <is>
          <t>Other Support of Production</t>
        </is>
      </c>
      <c r="J22" s="3" t="inlineStr">
        <is>
          <t>Finishing</t>
        </is>
      </c>
      <c r="K22" s="5" t="inlineStr">
        <is>
          <t>Không có bomtime chuyền UV</t>
        </is>
      </c>
      <c r="L22" s="5" t="inlineStr">
        <is>
          <t>HC làm việc (ca thường)</t>
        </is>
      </c>
      <c r="M22" s="6" t="n">
        <v>0.3125</v>
      </c>
      <c r="N22" s="6" t="n">
        <v>0.6458333333333334</v>
      </c>
      <c r="O22" s="7">
        <f>(N22-M22)*24</f>
        <v/>
      </c>
      <c r="P22" s="3" t="n">
        <v>10</v>
      </c>
      <c r="Q22" s="7">
        <f>P22*O22</f>
        <v/>
      </c>
      <c r="R22" s="3" t="inlineStr">
        <is>
          <t>File UV (báo cáo ngày)</t>
        </is>
      </c>
    </row>
    <row r="23">
      <c r="A23" s="3">
        <f>"W"&amp;WEEKNUM(B23,21)</f>
        <v/>
      </c>
      <c r="B23" s="4" t="n">
        <v>46305</v>
      </c>
      <c r="C23" s="5" t="n"/>
      <c r="D23" s="3" t="n"/>
      <c r="E23" s="3" t="n"/>
      <c r="F23" s="3" t="n"/>
      <c r="G23" s="3" t="inlineStr">
        <is>
          <t>RC - PANEL</t>
        </is>
      </c>
      <c r="H23" s="3" t="inlineStr">
        <is>
          <t>S32</t>
        </is>
      </c>
      <c r="I23" s="5" t="inlineStr">
        <is>
          <t>Other Support of Production</t>
        </is>
      </c>
      <c r="J23" s="3" t="inlineStr">
        <is>
          <t>Finishing</t>
        </is>
      </c>
      <c r="K23" s="5" t="inlineStr">
        <is>
          <t>Không có bomtime chuyền UV</t>
        </is>
      </c>
      <c r="L23" s="5" t="inlineStr">
        <is>
          <t>HC tăng ca (OT 4 giờ)</t>
        </is>
      </c>
      <c r="M23" s="6" t="n">
        <v>0.6458333333333334</v>
      </c>
      <c r="N23" s="6" t="n">
        <v>0.8125</v>
      </c>
      <c r="O23" s="7">
        <f>(N23-M23)*24</f>
        <v/>
      </c>
      <c r="P23" s="3" t="n">
        <v>9</v>
      </c>
      <c r="Q23" s="7">
        <f>P23*O23</f>
        <v/>
      </c>
      <c r="R23" s="3" t="inlineStr">
        <is>
          <t>File UV (báo cáo ngày)</t>
        </is>
      </c>
    </row>
    <row r="24">
      <c r="A24" s="3">
        <f>"W"&amp;WEEKNUM(B24,21)</f>
        <v/>
      </c>
      <c r="B24" s="4" t="n">
        <v>46305</v>
      </c>
      <c r="C24" s="5" t="inlineStr">
        <is>
          <t>code 516+code 231</t>
        </is>
      </c>
      <c r="D24" s="3" t="n"/>
      <c r="E24" s="3" t="n">
        <v>150</v>
      </c>
      <c r="F24" s="3" t="n"/>
      <c r="G24" s="3" t="inlineStr">
        <is>
          <t>RC - PANEL</t>
        </is>
      </c>
      <c r="H24" s="3" t="inlineStr">
        <is>
          <t>S32</t>
        </is>
      </c>
      <c r="I24" s="5" t="inlineStr">
        <is>
          <t>Other Support of Production</t>
        </is>
      </c>
      <c r="J24" s="3" t="inlineStr">
        <is>
          <t>TF</t>
        </is>
      </c>
      <c r="K24" s="5" t="inlineStr">
        <is>
          <t>Làm mẫu (veneer)</t>
        </is>
      </c>
      <c r="L24" s="5" t="inlineStr">
        <is>
          <t>2 mã (code 516, code 231), 1 ca</t>
        </is>
      </c>
      <c r="M24" s="6" t="n">
        <v>0.375</v>
      </c>
      <c r="N24" s="6" t="n">
        <v>0.4375</v>
      </c>
      <c r="O24" s="7">
        <f>(N24-M24)*24</f>
        <v/>
      </c>
      <c r="P24" s="3" t="n">
        <v>2</v>
      </c>
      <c r="Q24" s="7">
        <f>P24*O24</f>
        <v/>
      </c>
      <c r="R24" s="3" t="inlineStr">
        <is>
          <t>File Veneer</t>
        </is>
      </c>
    </row>
    <row r="25">
      <c r="A25" s="8">
        <f>"W"&amp;WEEKNUM(B25,21)</f>
        <v/>
      </c>
      <c r="B25" s="9" t="n">
        <v>46306</v>
      </c>
      <c r="C25" s="10" t="n"/>
      <c r="D25" s="8" t="n"/>
      <c r="E25" s="8" t="n"/>
      <c r="F25" s="8" t="n"/>
      <c r="G25" s="8" t="inlineStr">
        <is>
          <t>RC - PANEL</t>
        </is>
      </c>
      <c r="H25" s="8" t="inlineStr">
        <is>
          <t>S32</t>
        </is>
      </c>
      <c r="I25" s="10" t="inlineStr">
        <is>
          <t>Other Support of Production</t>
        </is>
      </c>
      <c r="J25" s="8" t="inlineStr">
        <is>
          <t>Finishing</t>
        </is>
      </c>
      <c r="K25" s="10" t="inlineStr">
        <is>
          <t>Không có bomtime chuyền UV</t>
        </is>
      </c>
      <c r="L25" s="10" t="inlineStr">
        <is>
          <t>HC làm việc (ca thường)</t>
        </is>
      </c>
      <c r="M25" s="11" t="n">
        <v>0.3125</v>
      </c>
      <c r="N25" s="11" t="n">
        <v>0.6458333333333334</v>
      </c>
      <c r="O25" s="12">
        <f>(N25-M25)*24</f>
        <v/>
      </c>
      <c r="P25" s="8" t="n">
        <v>9</v>
      </c>
      <c r="Q25" s="12">
        <f>P25*O25</f>
        <v/>
      </c>
      <c r="R25" s="8" t="inlineStr">
        <is>
          <t>File UV (báo cáo ngày)</t>
        </is>
      </c>
    </row>
    <row r="26">
      <c r="A26" s="3">
        <f>"W"&amp;WEEKNUM(B26,21)</f>
        <v/>
      </c>
      <c r="B26" s="4" t="n">
        <v>46307</v>
      </c>
      <c r="C26" s="5" t="n"/>
      <c r="D26" s="3" t="n"/>
      <c r="E26" s="3" t="n"/>
      <c r="F26" s="3" t="n"/>
      <c r="G26" s="3" t="inlineStr">
        <is>
          <t>RC - PANEL</t>
        </is>
      </c>
      <c r="H26" s="3" t="inlineStr">
        <is>
          <t>S32</t>
        </is>
      </c>
      <c r="I26" s="5" t="inlineStr">
        <is>
          <t>Other Support of Production</t>
        </is>
      </c>
      <c r="J26" s="3" t="inlineStr">
        <is>
          <t>QC</t>
        </is>
      </c>
      <c r="K26" s="5" t="inlineStr">
        <is>
          <t>Phát sinh khu vực UV - SLAT (23 mã hàng)</t>
        </is>
      </c>
      <c r="L26" s="5" t="inlineStr">
        <is>
          <t>Charge to: QC A HIẾU; mã hàng xem sheet Chi tiết</t>
        </is>
      </c>
      <c r="M26" s="6" t="n">
        <v>0.3125</v>
      </c>
      <c r="N26" s="6" t="n">
        <v>0.625</v>
      </c>
      <c r="O26" s="7">
        <f>(N26-M26)*24</f>
        <v/>
      </c>
      <c r="P26" s="3" t="n">
        <v>1</v>
      </c>
      <c r="Q26" s="7">
        <f>P26*O26</f>
        <v/>
      </c>
      <c r="R26" s="3" t="inlineStr">
        <is>
          <t>File UV (phát sinh)</t>
        </is>
      </c>
    </row>
    <row r="27">
      <c r="A27" s="3">
        <f>"W"&amp;WEEKNUM(B27,21)</f>
        <v/>
      </c>
      <c r="B27" s="4" t="n">
        <v>46307</v>
      </c>
      <c r="C27" s="5" t="inlineStr">
        <is>
          <t>RH11-1119-0129-41797+RH11-1179-0129-40474+RH11-4136-0129-40505 (+20 mã)</t>
        </is>
      </c>
      <c r="D27" s="3" t="n"/>
      <c r="E27" s="3" t="n">
        <v>2522</v>
      </c>
      <c r="F27" s="3" t="n"/>
      <c r="G27" s="3" t="inlineStr">
        <is>
          <t>RC - PANEL</t>
        </is>
      </c>
      <c r="H27" s="3" t="inlineStr">
        <is>
          <t>S32</t>
        </is>
      </c>
      <c r="I27" s="5" t="inlineStr">
        <is>
          <t>Other Support of Production</t>
        </is>
      </c>
      <c r="J27" s="3" t="inlineStr">
        <is>
          <t>QC</t>
        </is>
      </c>
      <c r="K27" s="5" t="inlineStr">
        <is>
          <t>Phát sinh khu vực UV - SLAT (23 mã hàng)</t>
        </is>
      </c>
      <c r="L27" s="5" t="inlineStr">
        <is>
          <t>Charge to: QC A HIẾU; mã hàng xem sheet Chi tiết</t>
        </is>
      </c>
      <c r="M27" s="6" t="n">
        <v>0.3958333333333333</v>
      </c>
      <c r="N27" s="6" t="n">
        <v>0.8333333333333334</v>
      </c>
      <c r="O27" s="7">
        <f>(N27-M27)*24</f>
        <v/>
      </c>
      <c r="P27" s="3" t="n">
        <v>1</v>
      </c>
      <c r="Q27" s="7">
        <f>P27*O27</f>
        <v/>
      </c>
      <c r="R27" s="3" t="inlineStr">
        <is>
          <t>File UV (phát sinh)</t>
        </is>
      </c>
    </row>
    <row r="28">
      <c r="A28" s="3">
        <f>"W"&amp;WEEKNUM(B28,21)</f>
        <v/>
      </c>
      <c r="B28" s="4" t="n">
        <v>46307</v>
      </c>
      <c r="C28" s="5" t="n"/>
      <c r="D28" s="3" t="n"/>
      <c r="E28" s="3" t="n"/>
      <c r="F28" s="3" t="n"/>
      <c r="G28" s="3" t="inlineStr">
        <is>
          <t>Assembly</t>
        </is>
      </c>
      <c r="H28" s="3" t="inlineStr">
        <is>
          <t>S32</t>
        </is>
      </c>
      <c r="I28" s="5" t="inlineStr">
        <is>
          <t>Other Support of Production</t>
        </is>
      </c>
      <c r="J28" s="3" t="inlineStr">
        <is>
          <t>Finishing</t>
        </is>
      </c>
      <c r="K28" s="5" t="inlineStr">
        <is>
          <t>Không có bomtime sơn lòng trong</t>
        </is>
      </c>
      <c r="L28" s="5" t="inlineStr">
        <is>
          <t>Thợ sơn lòng trong tủ - hỗ trợ Fin</t>
        </is>
      </c>
      <c r="M28" s="6" t="n">
        <v>0.3125</v>
      </c>
      <c r="N28" s="6" t="n">
        <v>0.8125</v>
      </c>
      <c r="O28" s="7">
        <f>(N28-M28)*24</f>
        <v/>
      </c>
      <c r="P28" s="3" t="n">
        <v>12</v>
      </c>
      <c r="Q28" s="7">
        <f>P28*O28</f>
        <v/>
      </c>
      <c r="R28" s="3" t="inlineStr">
        <is>
          <t>Hình: thợ sơn</t>
        </is>
      </c>
    </row>
    <row r="29">
      <c r="A29" s="3">
        <f>"W"&amp;WEEKNUM(B29,21)</f>
        <v/>
      </c>
      <c r="B29" s="4" t="n">
        <v>46308</v>
      </c>
      <c r="C29" s="5" t="inlineStr">
        <is>
          <t>AR12-1137-1404-R0000</t>
        </is>
      </c>
      <c r="D29" s="3" t="n"/>
      <c r="E29" s="3" t="n">
        <v>9</v>
      </c>
      <c r="F29" s="3" t="n"/>
      <c r="G29" s="3" t="inlineStr">
        <is>
          <t>RC - PANEL</t>
        </is>
      </c>
      <c r="H29" s="3" t="inlineStr">
        <is>
          <t>S32</t>
        </is>
      </c>
      <c r="I29" s="5" t="inlineStr">
        <is>
          <t>Other Support of Production</t>
        </is>
      </c>
      <c r="J29" s="3" t="inlineStr">
        <is>
          <t>TF</t>
        </is>
      </c>
      <c r="K29" s="5" t="inlineStr">
        <is>
          <t>Phát sinh khu vực UV - Back Panel</t>
        </is>
      </c>
      <c r="L29" s="5" t="inlineStr">
        <is>
          <t>Charge to: TF</t>
        </is>
      </c>
      <c r="M29" s="6" t="n">
        <v>0.6458333333333334</v>
      </c>
      <c r="N29" s="6" t="n">
        <v>0.8333333333333334</v>
      </c>
      <c r="O29" s="7">
        <f>(N29-M29)*24</f>
        <v/>
      </c>
      <c r="P29" s="3" t="n">
        <v>1</v>
      </c>
      <c r="Q29" s="7">
        <f>P29*O29</f>
        <v/>
      </c>
      <c r="R29" s="3" t="inlineStr">
        <is>
          <t>File UV (phát sinh)</t>
        </is>
      </c>
    </row>
    <row r="30">
      <c r="A30" s="3">
        <f>"W"&amp;WEEKNUM(B30,21)</f>
        <v/>
      </c>
      <c r="B30" s="4" t="n">
        <v>46308</v>
      </c>
      <c r="C30" s="5" t="n"/>
      <c r="D30" s="3" t="n"/>
      <c r="E30" s="3" t="n"/>
      <c r="F30" s="3" t="n"/>
      <c r="G30" s="3" t="inlineStr">
        <is>
          <t>Assembly</t>
        </is>
      </c>
      <c r="H30" s="3" t="inlineStr">
        <is>
          <t>S32</t>
        </is>
      </c>
      <c r="I30" s="5" t="inlineStr">
        <is>
          <t>Other Support of Production</t>
        </is>
      </c>
      <c r="J30" s="3" t="inlineStr">
        <is>
          <t>Finishing</t>
        </is>
      </c>
      <c r="K30" s="5" t="inlineStr">
        <is>
          <t>Không có bomtime sơn lòng trong</t>
        </is>
      </c>
      <c r="L30" s="5" t="inlineStr">
        <is>
          <t>Thợ sơn lòng trong tủ - hỗ trợ Fin</t>
        </is>
      </c>
      <c r="M30" s="6" t="n">
        <v>0.3125</v>
      </c>
      <c r="N30" s="6" t="n">
        <v>0.8125</v>
      </c>
      <c r="O30" s="7">
        <f>(N30-M30)*24</f>
        <v/>
      </c>
      <c r="P30" s="3" t="n">
        <v>12</v>
      </c>
      <c r="Q30" s="7">
        <f>P30*O30</f>
        <v/>
      </c>
      <c r="R30" s="3" t="inlineStr">
        <is>
          <t>Hình: thợ sơn</t>
        </is>
      </c>
    </row>
    <row r="31">
      <c r="A31" s="3">
        <f>"W"&amp;WEEKNUM(B31,21)</f>
        <v/>
      </c>
      <c r="B31" s="4" t="n">
        <v>46309</v>
      </c>
      <c r="C31" s="5" t="n"/>
      <c r="D31" s="3" t="n"/>
      <c r="E31" s="3" t="n"/>
      <c r="F31" s="3" t="n"/>
      <c r="G31" s="3" t="inlineStr">
        <is>
          <t>Assembly</t>
        </is>
      </c>
      <c r="H31" s="3" t="inlineStr">
        <is>
          <t>S32</t>
        </is>
      </c>
      <c r="I31" s="5" t="inlineStr">
        <is>
          <t>Other Support of Production</t>
        </is>
      </c>
      <c r="J31" s="3" t="inlineStr">
        <is>
          <t>Finishing</t>
        </is>
      </c>
      <c r="K31" s="5" t="inlineStr">
        <is>
          <t>Không có bomtime sơn lòng trong</t>
        </is>
      </c>
      <c r="L31" s="5" t="inlineStr">
        <is>
          <t>Thợ sơn lòng trong tủ - hỗ trợ Fin</t>
        </is>
      </c>
      <c r="M31" s="6" t="n">
        <v>0.3125</v>
      </c>
      <c r="N31" s="6" t="n">
        <v>0.8125</v>
      </c>
      <c r="O31" s="7">
        <f>(N31-M31)*24</f>
        <v/>
      </c>
      <c r="P31" s="3" t="n">
        <v>12</v>
      </c>
      <c r="Q31" s="7">
        <f>P31*O31</f>
        <v/>
      </c>
      <c r="R31" s="3" t="inlineStr">
        <is>
          <t>Hình: thợ sơn</t>
        </is>
      </c>
    </row>
    <row r="32">
      <c r="A32" s="3">
        <f>"W"&amp;WEEKNUM(B32,21)</f>
        <v/>
      </c>
      <c r="B32" s="4" t="n">
        <v>46310</v>
      </c>
      <c r="C32" s="5" t="inlineStr">
        <is>
          <t>code 229</t>
        </is>
      </c>
      <c r="D32" s="3" t="n"/>
      <c r="E32" s="3" t="n">
        <v>4</v>
      </c>
      <c r="F32" s="3" t="n"/>
      <c r="G32" s="3" t="inlineStr">
        <is>
          <t>RC - PANEL</t>
        </is>
      </c>
      <c r="H32" s="3" t="inlineStr">
        <is>
          <t>S32</t>
        </is>
      </c>
      <c r="I32" s="5" t="inlineStr">
        <is>
          <t>Other Support of Production</t>
        </is>
      </c>
      <c r="J32" s="3" t="inlineStr">
        <is>
          <t>ME</t>
        </is>
      </c>
      <c r="K32" s="5" t="inlineStr">
        <is>
          <t>Làm mẫu (veneer)</t>
        </is>
      </c>
      <c r="L32" s="5" t="inlineStr">
        <is>
          <t>code 229</t>
        </is>
      </c>
      <c r="M32" s="6" t="n">
        <v>0.3333333333333333</v>
      </c>
      <c r="N32" s="6" t="n">
        <v>0.3472222222222222</v>
      </c>
      <c r="O32" s="7">
        <f>(N32-M32)*24</f>
        <v/>
      </c>
      <c r="P32" s="3" t="n">
        <v>1</v>
      </c>
      <c r="Q32" s="7">
        <f>P32*O32</f>
        <v/>
      </c>
      <c r="R32" s="3" t="inlineStr">
        <is>
          <t>File Veneer</t>
        </is>
      </c>
    </row>
    <row r="33">
      <c r="A33" s="3">
        <f>"W"&amp;WEEKNUM(B33,21)</f>
        <v/>
      </c>
      <c r="B33" s="4" t="n">
        <v>46310</v>
      </c>
      <c r="C33" s="5" t="n"/>
      <c r="D33" s="3" t="n"/>
      <c r="E33" s="3" t="n"/>
      <c r="F33" s="3" t="n"/>
      <c r="G33" s="3" t="inlineStr">
        <is>
          <t>Assembly</t>
        </is>
      </c>
      <c r="H33" s="3" t="inlineStr">
        <is>
          <t>S32</t>
        </is>
      </c>
      <c r="I33" s="5" t="inlineStr">
        <is>
          <t>Other Support of Production</t>
        </is>
      </c>
      <c r="J33" s="3" t="inlineStr">
        <is>
          <t>Finishing</t>
        </is>
      </c>
      <c r="K33" s="5" t="inlineStr">
        <is>
          <t>Không có bomtime sơn lòng trong</t>
        </is>
      </c>
      <c r="L33" s="5" t="inlineStr">
        <is>
          <t>Thợ sơn lòng trong tủ - hỗ trợ Fin</t>
        </is>
      </c>
      <c r="M33" s="6" t="n">
        <v>0.3125</v>
      </c>
      <c r="N33" s="6" t="n">
        <v>0.8125</v>
      </c>
      <c r="O33" s="7">
        <f>(N33-M33)*24</f>
        <v/>
      </c>
      <c r="P33" s="3" t="n">
        <v>12</v>
      </c>
      <c r="Q33" s="7">
        <f>P33*O33</f>
        <v/>
      </c>
      <c r="R33" s="3" t="inlineStr">
        <is>
          <t>Hình: thợ sơn</t>
        </is>
      </c>
    </row>
    <row r="34">
      <c r="A34" s="13">
        <f>"W"&amp;WEEKNUM(B34,21)</f>
        <v/>
      </c>
      <c r="B34" s="14" t="n">
        <v>46310</v>
      </c>
      <c r="C34" s="15" t="inlineStr">
        <is>
          <t>RH2252</t>
        </is>
      </c>
      <c r="D34" s="13" t="n"/>
      <c r="E34" s="13" t="n">
        <v>734</v>
      </c>
      <c r="F34" s="13" t="n"/>
      <c r="G34" s="13" t="inlineStr">
        <is>
          <t>Assembly</t>
        </is>
      </c>
      <c r="H34" s="13" t="inlineStr">
        <is>
          <t>S32</t>
        </is>
      </c>
      <c r="I34" s="15" t="inlineStr">
        <is>
          <t>Other Support of Production</t>
        </is>
      </c>
      <c r="J34" s="13" t="inlineStr">
        <is>
          <t>Subcon</t>
        </is>
      </c>
      <c r="K34" s="15" t="inlineStr">
        <is>
          <t>Bắn cát hỗ trợ Subcon Đại Xuyên (chân)</t>
        </is>
      </c>
      <c r="L34" s="15" t="inlineStr">
        <is>
          <t>Line bắn cát - hỗ trợ Supcon Đại Xuyên</t>
        </is>
      </c>
      <c r="M34" s="16" t="n">
        <v>0.2916666666666667</v>
      </c>
      <c r="N34" s="16" t="n">
        <v>0.625</v>
      </c>
      <c r="O34" s="17">
        <f>(N34-M34)*24</f>
        <v/>
      </c>
      <c r="P34" s="13" t="n">
        <v>4</v>
      </c>
      <c r="Q34" s="17">
        <f>P34*O34</f>
        <v/>
      </c>
      <c r="R34" s="13" t="inlineStr">
        <is>
          <t>Hình: bắn cát</t>
        </is>
      </c>
    </row>
    <row r="35">
      <c r="A35" s="8">
        <f>"W"&amp;WEEKNUM(B35,21)</f>
        <v/>
      </c>
      <c r="B35" s="9" t="n">
        <v>46311</v>
      </c>
      <c r="C35" s="10" t="inlineStr">
        <is>
          <t>CZ065F08</t>
        </is>
      </c>
      <c r="D35" s="8" t="n"/>
      <c r="E35" s="8" t="n">
        <v>14</v>
      </c>
      <c r="F35" s="8" t="n"/>
      <c r="G35" s="8" t="inlineStr">
        <is>
          <t>RC - PANEL</t>
        </is>
      </c>
      <c r="H35" s="8" t="inlineStr">
        <is>
          <t>S32</t>
        </is>
      </c>
      <c r="I35" s="10" t="inlineStr">
        <is>
          <t>Other Support of Production</t>
        </is>
      </c>
      <c r="J35" s="8" t="inlineStr">
        <is>
          <t>(chưa phân công)</t>
        </is>
      </c>
      <c r="K35" s="10" t="inlineStr">
        <is>
          <t>Beam saw - phát sinh (chi tiết P10)</t>
        </is>
      </c>
      <c r="L35" s="10" t="inlineStr">
        <is>
          <t>Charge to: Unassigned</t>
        </is>
      </c>
      <c r="M35" s="11" t="n">
        <v>0.3333333333333333</v>
      </c>
      <c r="N35" s="11" t="n">
        <v>0.3368055555555556</v>
      </c>
      <c r="O35" s="12">
        <f>(N35-M35)*24</f>
        <v/>
      </c>
      <c r="P35" s="8" t="n">
        <v>3</v>
      </c>
      <c r="Q35" s="12">
        <f>P35*O35</f>
        <v/>
      </c>
      <c r="R35" s="8" t="inlineStr">
        <is>
          <t>File Beam saw</t>
        </is>
      </c>
    </row>
    <row r="36">
      <c r="A36" s="8">
        <f>"W"&amp;WEEKNUM(B36,21)</f>
        <v/>
      </c>
      <c r="B36" s="9" t="n">
        <v>46311</v>
      </c>
      <c r="C36" s="10" t="inlineStr">
        <is>
          <t>CZ065F09</t>
        </is>
      </c>
      <c r="D36" s="8" t="n"/>
      <c r="E36" s="8" t="n">
        <v>30</v>
      </c>
      <c r="F36" s="8" t="n"/>
      <c r="G36" s="8" t="inlineStr">
        <is>
          <t>RC - PANEL</t>
        </is>
      </c>
      <c r="H36" s="8" t="inlineStr">
        <is>
          <t>S32</t>
        </is>
      </c>
      <c r="I36" s="10" t="inlineStr">
        <is>
          <t>Other Support of Production</t>
        </is>
      </c>
      <c r="J36" s="8" t="inlineStr">
        <is>
          <t>(chưa phân công)</t>
        </is>
      </c>
      <c r="K36" s="10" t="inlineStr">
        <is>
          <t>Beam saw - phát sinh (chi tiết P10)</t>
        </is>
      </c>
      <c r="L36" s="10" t="inlineStr">
        <is>
          <t>Charge to: Unassigned</t>
        </is>
      </c>
      <c r="M36" s="11" t="n">
        <v>0.3368055555555556</v>
      </c>
      <c r="N36" s="11" t="n">
        <v>0.34375</v>
      </c>
      <c r="O36" s="12">
        <f>(N36-M36)*24</f>
        <v/>
      </c>
      <c r="P36" s="8" t="n">
        <v>3</v>
      </c>
      <c r="Q36" s="12">
        <f>P36*O36</f>
        <v/>
      </c>
      <c r="R36" s="8" t="inlineStr">
        <is>
          <t>File Beam saw</t>
        </is>
      </c>
    </row>
    <row r="37">
      <c r="A37" s="3">
        <f>"W"&amp;WEEKNUM(B37,21)</f>
        <v/>
      </c>
      <c r="B37" s="4" t="n">
        <v>46311</v>
      </c>
      <c r="C37" s="5" t="n"/>
      <c r="D37" s="3" t="n"/>
      <c r="E37" s="3" t="n"/>
      <c r="F37" s="3" t="n"/>
      <c r="G37" s="3" t="inlineStr">
        <is>
          <t>Assembly</t>
        </is>
      </c>
      <c r="H37" s="3" t="inlineStr">
        <is>
          <t>S32</t>
        </is>
      </c>
      <c r="I37" s="5" t="inlineStr">
        <is>
          <t>Other Support of Production</t>
        </is>
      </c>
      <c r="J37" s="3" t="inlineStr">
        <is>
          <t>Finishing</t>
        </is>
      </c>
      <c r="K37" s="5" t="inlineStr">
        <is>
          <t>Không có bomtime sơn lòng trong</t>
        </is>
      </c>
      <c r="L37" s="5" t="inlineStr">
        <is>
          <t>Thợ sơn lòng trong tủ - hỗ trợ Fin</t>
        </is>
      </c>
      <c r="M37" s="6" t="n">
        <v>0.3125</v>
      </c>
      <c r="N37" s="6" t="n">
        <v>0.8125</v>
      </c>
      <c r="O37" s="7">
        <f>(N37-M37)*24</f>
        <v/>
      </c>
      <c r="P37" s="3" t="n">
        <v>12</v>
      </c>
      <c r="Q37" s="7">
        <f>P37*O37</f>
        <v/>
      </c>
      <c r="R37" s="3" t="inlineStr">
        <is>
          <t>Hình: thợ sơn</t>
        </is>
      </c>
    </row>
    <row r="38">
      <c r="A38" s="3">
        <f>"W"&amp;WEEKNUM(B38,21)</f>
        <v/>
      </c>
      <c r="B38" s="4" t="n">
        <v>46311</v>
      </c>
      <c r="C38" s="5" t="inlineStr">
        <is>
          <t>RH5061</t>
        </is>
      </c>
      <c r="D38" s="3" t="n"/>
      <c r="E38" s="3" t="n"/>
      <c r="F38" s="3" t="n"/>
      <c r="G38" s="3" t="inlineStr">
        <is>
          <t>Assembly</t>
        </is>
      </c>
      <c r="H38" s="3" t="inlineStr">
        <is>
          <t>S32</t>
        </is>
      </c>
      <c r="I38" s="5" t="inlineStr">
        <is>
          <t>Other Support of Production</t>
        </is>
      </c>
      <c r="J38" s="3" t="inlineStr">
        <is>
          <t>Machining</t>
        </is>
      </c>
      <c r="K38" s="5" t="inlineStr">
        <is>
          <t>Cào cước hỗ trợ MAC</t>
        </is>
      </c>
      <c r="L38" s="5" t="inlineStr">
        <is>
          <t>Line 7 - hỗ trợ MAC</t>
        </is>
      </c>
      <c r="M38" s="6" t="n">
        <v>0.3333333333333333</v>
      </c>
      <c r="N38" s="6" t="n">
        <v>0.5</v>
      </c>
      <c r="O38" s="7">
        <f>(N38-M38)*24</f>
        <v/>
      </c>
      <c r="P38" s="3" t="n">
        <v>1</v>
      </c>
      <c r="Q38" s="7">
        <f>P38*O38</f>
        <v/>
      </c>
      <c r="R38" s="3" t="inlineStr">
        <is>
          <t>Hình: cào cước</t>
        </is>
      </c>
    </row>
    <row r="39">
      <c r="A39" s="13">
        <f>"W"&amp;WEEKNUM(B39,21)</f>
        <v/>
      </c>
      <c r="B39" s="14" t="n">
        <v>46311</v>
      </c>
      <c r="C39" s="15" t="inlineStr">
        <is>
          <t>RH893</t>
        </is>
      </c>
      <c r="D39" s="13" t="n"/>
      <c r="E39" s="13" t="n"/>
      <c r="F39" s="13" t="n"/>
      <c r="G39" s="13" t="inlineStr">
        <is>
          <t>Assembly</t>
        </is>
      </c>
      <c r="H39" s="13" t="inlineStr">
        <is>
          <t>S32</t>
        </is>
      </c>
      <c r="I39" s="15" t="inlineStr">
        <is>
          <t>Other Support of Production</t>
        </is>
      </c>
      <c r="J39" s="13" t="inlineStr">
        <is>
          <t>Machining</t>
        </is>
      </c>
      <c r="K39" s="15" t="inlineStr">
        <is>
          <t>Cào cước hỗ trợ MAC</t>
        </is>
      </c>
      <c r="L39" s="15" t="inlineStr">
        <is>
          <t>Line 8 - hỗ trợ MAC</t>
        </is>
      </c>
      <c r="M39" s="16" t="n">
        <v>0.625</v>
      </c>
      <c r="N39" s="16" t="n">
        <v>0.8333333333333334</v>
      </c>
      <c r="O39" s="17">
        <f>(N39-M39)*24</f>
        <v/>
      </c>
      <c r="P39" s="13" t="n">
        <v>1</v>
      </c>
      <c r="Q39" s="17">
        <f>P39*O39</f>
        <v/>
      </c>
      <c r="R39" s="13" t="inlineStr">
        <is>
          <t>Hình: cào cước</t>
        </is>
      </c>
    </row>
    <row r="40">
      <c r="A40" s="3">
        <f>"W"&amp;WEEKNUM(B40,21)</f>
        <v/>
      </c>
      <c r="B40" s="4" t="n">
        <v>46312</v>
      </c>
      <c r="C40" s="5" t="inlineStr">
        <is>
          <t>SH20-1029-1471-41191</t>
        </is>
      </c>
      <c r="D40" s="3" t="n"/>
      <c r="E40" s="3" t="n">
        <v>4</v>
      </c>
      <c r="F40" s="3" t="n"/>
      <c r="G40" s="3" t="inlineStr">
        <is>
          <t>RC - PANEL</t>
        </is>
      </c>
      <c r="H40" s="3" t="inlineStr">
        <is>
          <t>S32</t>
        </is>
      </c>
      <c r="I40" s="5" t="inlineStr">
        <is>
          <t>Other Support of Production</t>
        </is>
      </c>
      <c r="J40" s="3" t="inlineStr">
        <is>
          <t>Machining</t>
        </is>
      </c>
      <c r="K40" s="5" t="inlineStr">
        <is>
          <t>Beam saw - phát sinh (chi tiết A1-S02)</t>
        </is>
      </c>
      <c r="L40" s="5" t="inlineStr">
        <is>
          <t>STT 300</t>
        </is>
      </c>
      <c r="M40" s="6" t="n">
        <v>0.5416666666666666</v>
      </c>
      <c r="N40" s="6" t="n">
        <v>0.5444444444444444</v>
      </c>
      <c r="O40" s="7">
        <f>(N40-M40)*24</f>
        <v/>
      </c>
      <c r="P40" s="3" t="n">
        <v>3</v>
      </c>
      <c r="Q40" s="7">
        <f>P40*O40</f>
        <v/>
      </c>
      <c r="R40" s="3" t="inlineStr">
        <is>
          <t>File Beam saw</t>
        </is>
      </c>
    </row>
    <row r="41">
      <c r="A41" s="13">
        <f>"W"&amp;WEEKNUM(B41,21)</f>
        <v/>
      </c>
      <c r="B41" s="14" t="n">
        <v>46312</v>
      </c>
      <c r="C41" s="15" t="n"/>
      <c r="D41" s="13" t="n"/>
      <c r="E41" s="13" t="n"/>
      <c r="F41" s="13" t="n"/>
      <c r="G41" s="13" t="inlineStr">
        <is>
          <t>Assembly</t>
        </is>
      </c>
      <c r="H41" s="13" t="inlineStr">
        <is>
          <t>S32</t>
        </is>
      </c>
      <c r="I41" s="15" t="inlineStr">
        <is>
          <t>Other Support of Production</t>
        </is>
      </c>
      <c r="J41" s="13" t="inlineStr">
        <is>
          <t>Finishing</t>
        </is>
      </c>
      <c r="K41" s="15" t="inlineStr">
        <is>
          <t>Không có bomtime sơn lòng trong</t>
        </is>
      </c>
      <c r="L41" s="15" t="inlineStr">
        <is>
          <t>Thợ sơn lòng trong tủ - hỗ trợ Fin (thứ Bảy)</t>
        </is>
      </c>
      <c r="M41" s="16" t="n">
        <v>0.3125</v>
      </c>
      <c r="N41" s="16" t="n">
        <v>0.6458333333333334</v>
      </c>
      <c r="O41" s="17">
        <f>(N41-M41)*24</f>
        <v/>
      </c>
      <c r="P41" s="13" t="n">
        <v>12</v>
      </c>
      <c r="Q41" s="17">
        <f>P41*O41</f>
        <v/>
      </c>
      <c r="R41" s="13" t="inlineStr">
        <is>
          <t>Hình: thợ sơn</t>
        </is>
      </c>
    </row>
    <row r="42">
      <c r="A42" s="3">
        <f>"W"&amp;WEEKNUM(B42,21)</f>
        <v/>
      </c>
      <c r="B42" s="4" t="n">
        <v>46314</v>
      </c>
      <c r="C42" s="5" t="inlineStr">
        <is>
          <t>AR1113F1330</t>
        </is>
      </c>
      <c r="D42" s="3" t="n"/>
      <c r="E42" s="3" t="n">
        <v>1</v>
      </c>
      <c r="F42" s="3" t="n"/>
      <c r="G42" s="3" t="inlineStr">
        <is>
          <t>RC - PANEL</t>
        </is>
      </c>
      <c r="H42" s="3" t="inlineStr">
        <is>
          <t>S32</t>
        </is>
      </c>
      <c r="I42" s="5" t="inlineStr">
        <is>
          <t>Other Support of Production</t>
        </is>
      </c>
      <c r="J42" s="3" t="inlineStr">
        <is>
          <t>Machining</t>
        </is>
      </c>
      <c r="K42" s="5" t="inlineStr">
        <is>
          <t>Beam saw - phát sinh (chi tiết A05-S01-1)</t>
        </is>
      </c>
      <c r="L42" s="5" t="inlineStr">
        <is>
          <t>STT 301</t>
        </is>
      </c>
      <c r="M42" s="6" t="n">
        <v>0.75</v>
      </c>
      <c r="N42" s="6" t="n">
        <v>0.7513888888888889</v>
      </c>
      <c r="O42" s="7">
        <f>(N42-M42)*24</f>
        <v/>
      </c>
      <c r="P42" s="3" t="n">
        <v>3</v>
      </c>
      <c r="Q42" s="7">
        <f>P42*O42</f>
        <v/>
      </c>
      <c r="R42" s="3" t="inlineStr">
        <is>
          <t>File Beam saw</t>
        </is>
      </c>
    </row>
    <row r="43">
      <c r="A43" s="3">
        <f>"W"&amp;WEEKNUM(B43,21)</f>
        <v/>
      </c>
      <c r="B43" s="4" t="n">
        <v>46314</v>
      </c>
      <c r="C43" s="5" t="inlineStr">
        <is>
          <t>AR1113F1330</t>
        </is>
      </c>
      <c r="D43" s="3" t="n"/>
      <c r="E43" s="3" t="n">
        <v>1</v>
      </c>
      <c r="F43" s="3" t="n"/>
      <c r="G43" s="3" t="inlineStr">
        <is>
          <t>RC - PANEL</t>
        </is>
      </c>
      <c r="H43" s="3" t="inlineStr">
        <is>
          <t>S32</t>
        </is>
      </c>
      <c r="I43" s="5" t="inlineStr">
        <is>
          <t>Other Support of Production</t>
        </is>
      </c>
      <c r="J43" s="3" t="inlineStr">
        <is>
          <t>Machining</t>
        </is>
      </c>
      <c r="K43" s="5" t="inlineStr">
        <is>
          <t>Beam saw - phát sinh (chi tiết A05-S01-2)</t>
        </is>
      </c>
      <c r="L43" s="5" t="inlineStr">
        <is>
          <t>STT 302</t>
        </is>
      </c>
      <c r="M43" s="6" t="n">
        <v>0.7513888888888889</v>
      </c>
      <c r="N43" s="6" t="n">
        <v>0.7527777777777778</v>
      </c>
      <c r="O43" s="7">
        <f>(N43-M43)*24</f>
        <v/>
      </c>
      <c r="P43" s="3" t="n">
        <v>3</v>
      </c>
      <c r="Q43" s="7">
        <f>P43*O43</f>
        <v/>
      </c>
      <c r="R43" s="3" t="inlineStr">
        <is>
          <t>File Beam saw</t>
        </is>
      </c>
    </row>
    <row r="44">
      <c r="A44" s="3">
        <f>"W"&amp;WEEKNUM(B44,21)</f>
        <v/>
      </c>
      <c r="B44" s="4" t="n">
        <v>46314</v>
      </c>
      <c r="C44" s="5" t="inlineStr">
        <is>
          <t>SH20-1029-1471-41191</t>
        </is>
      </c>
      <c r="D44" s="3" t="n"/>
      <c r="E44" s="3" t="n">
        <v>3</v>
      </c>
      <c r="F44" s="3" t="n"/>
      <c r="G44" s="3" t="inlineStr">
        <is>
          <t>RC - PANEL</t>
        </is>
      </c>
      <c r="H44" s="3" t="inlineStr">
        <is>
          <t>S32</t>
        </is>
      </c>
      <c r="I44" s="5" t="inlineStr">
        <is>
          <t>Other Support of Production</t>
        </is>
      </c>
      <c r="J44" s="3" t="inlineStr">
        <is>
          <t>Machining</t>
        </is>
      </c>
      <c r="K44" s="5" t="inlineStr">
        <is>
          <t>Beam saw - phát sinh (chi tiết A1-S02)</t>
        </is>
      </c>
      <c r="L44" s="5" t="inlineStr">
        <is>
          <t>STT 303</t>
        </is>
      </c>
      <c r="M44" s="6" t="n">
        <v>0.7527777777777778</v>
      </c>
      <c r="N44" s="6" t="n">
        <v>0.7548611111111111</v>
      </c>
      <c r="O44" s="7">
        <f>(N44-M44)*24</f>
        <v/>
      </c>
      <c r="P44" s="3" t="n">
        <v>3</v>
      </c>
      <c r="Q44" s="7">
        <f>P44*O44</f>
        <v/>
      </c>
      <c r="R44" s="3" t="inlineStr">
        <is>
          <t>File Beam saw</t>
        </is>
      </c>
    </row>
    <row r="45">
      <c r="P45" s="18" t="inlineStr">
        <is>
          <t>Tổng</t>
        </is>
      </c>
      <c r="Q45" s="19">
        <f>SUM(Q3:Q44)</f>
        <v/>
      </c>
    </row>
    <row r="47">
      <c r="A47" s="20" t="inlineStr">
        <is>
          <t>Vàng = giờ cần xác nhận (dự kiến hoặc giả định). Cam = dòng cần quyết định (Chủ nhật 11/10 UV; Beam saw 16/10 chưa phân công bộ phận).</t>
        </is>
      </c>
    </row>
  </sheetData>
  <autoFilter ref="A2:R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21" t="inlineStr">
        <is>
          <t>GIỜ CÔNG S32 THEO NGÀY VÀ THEO NGUỒN</t>
        </is>
      </c>
    </row>
    <row r="3" ht="40" customHeight="1">
      <c r="A3" s="2" t="inlineStr">
        <is>
          <t>Ngày</t>
        </is>
      </c>
      <c r="B3" s="2" t="inlineStr">
        <is>
          <t>Thứ</t>
        </is>
      </c>
      <c r="C3" s="2" t="inlineStr">
        <is>
          <t>Tuần</t>
        </is>
      </c>
      <c r="D3" s="2" t="inlineStr">
        <is>
          <t>File Ép nóng</t>
        </is>
      </c>
      <c r="E3" s="2" t="inlineStr">
        <is>
          <t>File UV (báo cáo ngày)</t>
        </is>
      </c>
      <c r="F3" s="2" t="inlineStr">
        <is>
          <t>File Beam saw</t>
        </is>
      </c>
      <c r="G3" s="2" t="inlineStr">
        <is>
          <t>File Veneer</t>
        </is>
      </c>
      <c r="H3" s="2" t="inlineStr">
        <is>
          <t>File UV (phát sinh)</t>
        </is>
      </c>
      <c r="I3" s="2" t="inlineStr">
        <is>
          <t>Hình: thợ sơn</t>
        </is>
      </c>
      <c r="J3" s="2" t="inlineStr">
        <is>
          <t>Hình: cào cước</t>
        </is>
      </c>
      <c r="K3" s="2" t="inlineStr">
        <is>
          <t>Hình: bắn cát</t>
        </is>
      </c>
      <c r="L3" s="2" t="inlineStr">
        <is>
          <t>Tổng ngày</t>
        </is>
      </c>
    </row>
    <row r="4">
      <c r="A4" s="22" t="n">
        <v>46300</v>
      </c>
      <c r="B4" s="23" t="inlineStr">
        <is>
          <t>Thứ Hai</t>
        </is>
      </c>
      <c r="C4" s="23">
        <f>"W"&amp;WEEKNUM(A4,21)</f>
        <v/>
      </c>
      <c r="D4" s="24">
        <f>SUMIFS('S32 5-10 đến 19-10'!$Q$3:$Q$44,'S32 5-10 đến 19-10'!$B$3:$B$44,$A4,'S32 5-10 đến 19-10'!$R$3:$R$44,D$3)</f>
        <v/>
      </c>
      <c r="E4" s="24">
        <f>SUMIFS('S32 5-10 đến 19-10'!$Q$3:$Q$44,'S32 5-10 đến 19-10'!$B$3:$B$44,$A4,'S32 5-10 đến 19-10'!$R$3:$R$44,E$3)</f>
        <v/>
      </c>
      <c r="F4" s="24">
        <f>SUMIFS('S32 5-10 đến 19-10'!$Q$3:$Q$44,'S32 5-10 đến 19-10'!$B$3:$B$44,$A4,'S32 5-10 đến 19-10'!$R$3:$R$44,F$3)</f>
        <v/>
      </c>
      <c r="G4" s="24">
        <f>SUMIFS('S32 5-10 đến 19-10'!$Q$3:$Q$44,'S32 5-10 đến 19-10'!$B$3:$B$44,$A4,'S32 5-10 đến 19-10'!$R$3:$R$44,G$3)</f>
        <v/>
      </c>
      <c r="H4" s="24">
        <f>SUMIFS('S32 5-10 đến 19-10'!$Q$3:$Q$44,'S32 5-10 đến 19-10'!$B$3:$B$44,$A4,'S32 5-10 đến 19-10'!$R$3:$R$44,H$3)</f>
        <v/>
      </c>
      <c r="I4" s="24">
        <f>SUMIFS('S32 5-10 đến 19-10'!$Q$3:$Q$44,'S32 5-10 đến 19-10'!$B$3:$B$44,$A4,'S32 5-10 đến 19-10'!$R$3:$R$44,I$3)</f>
        <v/>
      </c>
      <c r="J4" s="24">
        <f>SUMIFS('S32 5-10 đến 19-10'!$Q$3:$Q$44,'S32 5-10 đến 19-10'!$B$3:$B$44,$A4,'S32 5-10 đến 19-10'!$R$3:$R$44,J$3)</f>
        <v/>
      </c>
      <c r="K4" s="24">
        <f>SUMIFS('S32 5-10 đến 19-10'!$Q$3:$Q$44,'S32 5-10 đến 19-10'!$B$3:$B$44,$A4,'S32 5-10 đến 19-10'!$R$3:$R$44,K$3)</f>
        <v/>
      </c>
      <c r="L4" s="25">
        <f>SUM(D4:K4)</f>
        <v/>
      </c>
    </row>
    <row r="5">
      <c r="A5" s="22" t="n">
        <v>46301</v>
      </c>
      <c r="B5" s="23" t="inlineStr">
        <is>
          <t>Thứ Ba</t>
        </is>
      </c>
      <c r="C5" s="23">
        <f>"W"&amp;WEEKNUM(A5,21)</f>
        <v/>
      </c>
      <c r="D5" s="24">
        <f>SUMIFS('S32 5-10 đến 19-10'!$Q$3:$Q$44,'S32 5-10 đến 19-10'!$B$3:$B$44,$A5,'S32 5-10 đến 19-10'!$R$3:$R$44,D$3)</f>
        <v/>
      </c>
      <c r="E5" s="24">
        <f>SUMIFS('S32 5-10 đến 19-10'!$Q$3:$Q$44,'S32 5-10 đến 19-10'!$B$3:$B$44,$A5,'S32 5-10 đến 19-10'!$R$3:$R$44,E$3)</f>
        <v/>
      </c>
      <c r="F5" s="24">
        <f>SUMIFS('S32 5-10 đến 19-10'!$Q$3:$Q$44,'S32 5-10 đến 19-10'!$B$3:$B$44,$A5,'S32 5-10 đến 19-10'!$R$3:$R$44,F$3)</f>
        <v/>
      </c>
      <c r="G5" s="24">
        <f>SUMIFS('S32 5-10 đến 19-10'!$Q$3:$Q$44,'S32 5-10 đến 19-10'!$B$3:$B$44,$A5,'S32 5-10 đến 19-10'!$R$3:$R$44,G$3)</f>
        <v/>
      </c>
      <c r="H5" s="24">
        <f>SUMIFS('S32 5-10 đến 19-10'!$Q$3:$Q$44,'S32 5-10 đến 19-10'!$B$3:$B$44,$A5,'S32 5-10 đến 19-10'!$R$3:$R$44,H$3)</f>
        <v/>
      </c>
      <c r="I5" s="24">
        <f>SUMIFS('S32 5-10 đến 19-10'!$Q$3:$Q$44,'S32 5-10 đến 19-10'!$B$3:$B$44,$A5,'S32 5-10 đến 19-10'!$R$3:$R$44,I$3)</f>
        <v/>
      </c>
      <c r="J5" s="24">
        <f>SUMIFS('S32 5-10 đến 19-10'!$Q$3:$Q$44,'S32 5-10 đến 19-10'!$B$3:$B$44,$A5,'S32 5-10 đến 19-10'!$R$3:$R$44,J$3)</f>
        <v/>
      </c>
      <c r="K5" s="24">
        <f>SUMIFS('S32 5-10 đến 19-10'!$Q$3:$Q$44,'S32 5-10 đến 19-10'!$B$3:$B$44,$A5,'S32 5-10 đến 19-10'!$R$3:$R$44,K$3)</f>
        <v/>
      </c>
      <c r="L5" s="25">
        <f>SUM(D5:K5)</f>
        <v/>
      </c>
    </row>
    <row r="6">
      <c r="A6" s="22" t="n">
        <v>46302</v>
      </c>
      <c r="B6" s="23" t="inlineStr">
        <is>
          <t>Thứ Tư</t>
        </is>
      </c>
      <c r="C6" s="23">
        <f>"W"&amp;WEEKNUM(A6,21)</f>
        <v/>
      </c>
      <c r="D6" s="24">
        <f>SUMIFS('S32 5-10 đến 19-10'!$Q$3:$Q$44,'S32 5-10 đến 19-10'!$B$3:$B$44,$A6,'S32 5-10 đến 19-10'!$R$3:$R$44,D$3)</f>
        <v/>
      </c>
      <c r="E6" s="24">
        <f>SUMIFS('S32 5-10 đến 19-10'!$Q$3:$Q$44,'S32 5-10 đến 19-10'!$B$3:$B$44,$A6,'S32 5-10 đến 19-10'!$R$3:$R$44,E$3)</f>
        <v/>
      </c>
      <c r="F6" s="24">
        <f>SUMIFS('S32 5-10 đến 19-10'!$Q$3:$Q$44,'S32 5-10 đến 19-10'!$B$3:$B$44,$A6,'S32 5-10 đến 19-10'!$R$3:$R$44,F$3)</f>
        <v/>
      </c>
      <c r="G6" s="24">
        <f>SUMIFS('S32 5-10 đến 19-10'!$Q$3:$Q$44,'S32 5-10 đến 19-10'!$B$3:$B$44,$A6,'S32 5-10 đến 19-10'!$R$3:$R$44,G$3)</f>
        <v/>
      </c>
      <c r="H6" s="24">
        <f>SUMIFS('S32 5-10 đến 19-10'!$Q$3:$Q$44,'S32 5-10 đến 19-10'!$B$3:$B$44,$A6,'S32 5-10 đến 19-10'!$R$3:$R$44,H$3)</f>
        <v/>
      </c>
      <c r="I6" s="24">
        <f>SUMIFS('S32 5-10 đến 19-10'!$Q$3:$Q$44,'S32 5-10 đến 19-10'!$B$3:$B$44,$A6,'S32 5-10 đến 19-10'!$R$3:$R$44,I$3)</f>
        <v/>
      </c>
      <c r="J6" s="24">
        <f>SUMIFS('S32 5-10 đến 19-10'!$Q$3:$Q$44,'S32 5-10 đến 19-10'!$B$3:$B$44,$A6,'S32 5-10 đến 19-10'!$R$3:$R$44,J$3)</f>
        <v/>
      </c>
      <c r="K6" s="24">
        <f>SUMIFS('S32 5-10 đến 19-10'!$Q$3:$Q$44,'S32 5-10 đến 19-10'!$B$3:$B$44,$A6,'S32 5-10 đến 19-10'!$R$3:$R$44,K$3)</f>
        <v/>
      </c>
      <c r="L6" s="25">
        <f>SUM(D6:K6)</f>
        <v/>
      </c>
    </row>
    <row r="7">
      <c r="A7" s="22" t="n">
        <v>46303</v>
      </c>
      <c r="B7" s="23" t="inlineStr">
        <is>
          <t>Thứ Năm</t>
        </is>
      </c>
      <c r="C7" s="23">
        <f>"W"&amp;WEEKNUM(A7,21)</f>
        <v/>
      </c>
      <c r="D7" s="24">
        <f>SUMIFS('S32 5-10 đến 19-10'!$Q$3:$Q$44,'S32 5-10 đến 19-10'!$B$3:$B$44,$A7,'S32 5-10 đến 19-10'!$R$3:$R$44,D$3)</f>
        <v/>
      </c>
      <c r="E7" s="24">
        <f>SUMIFS('S32 5-10 đến 19-10'!$Q$3:$Q$44,'S32 5-10 đến 19-10'!$B$3:$B$44,$A7,'S32 5-10 đến 19-10'!$R$3:$R$44,E$3)</f>
        <v/>
      </c>
      <c r="F7" s="24">
        <f>SUMIFS('S32 5-10 đến 19-10'!$Q$3:$Q$44,'S32 5-10 đến 19-10'!$B$3:$B$44,$A7,'S32 5-10 đến 19-10'!$R$3:$R$44,F$3)</f>
        <v/>
      </c>
      <c r="G7" s="24">
        <f>SUMIFS('S32 5-10 đến 19-10'!$Q$3:$Q$44,'S32 5-10 đến 19-10'!$B$3:$B$44,$A7,'S32 5-10 đến 19-10'!$R$3:$R$44,G$3)</f>
        <v/>
      </c>
      <c r="H7" s="24">
        <f>SUMIFS('S32 5-10 đến 19-10'!$Q$3:$Q$44,'S32 5-10 đến 19-10'!$B$3:$B$44,$A7,'S32 5-10 đến 19-10'!$R$3:$R$44,H$3)</f>
        <v/>
      </c>
      <c r="I7" s="24">
        <f>SUMIFS('S32 5-10 đến 19-10'!$Q$3:$Q$44,'S32 5-10 đến 19-10'!$B$3:$B$44,$A7,'S32 5-10 đến 19-10'!$R$3:$R$44,I$3)</f>
        <v/>
      </c>
      <c r="J7" s="24">
        <f>SUMIFS('S32 5-10 đến 19-10'!$Q$3:$Q$44,'S32 5-10 đến 19-10'!$B$3:$B$44,$A7,'S32 5-10 đến 19-10'!$R$3:$R$44,J$3)</f>
        <v/>
      </c>
      <c r="K7" s="24">
        <f>SUMIFS('S32 5-10 đến 19-10'!$Q$3:$Q$44,'S32 5-10 đến 19-10'!$B$3:$B$44,$A7,'S32 5-10 đến 19-10'!$R$3:$R$44,K$3)</f>
        <v/>
      </c>
      <c r="L7" s="25">
        <f>SUM(D7:K7)</f>
        <v/>
      </c>
    </row>
    <row r="8">
      <c r="A8" s="22" t="n">
        <v>46304</v>
      </c>
      <c r="B8" s="23" t="inlineStr">
        <is>
          <t>Thứ Sáu</t>
        </is>
      </c>
      <c r="C8" s="23">
        <f>"W"&amp;WEEKNUM(A8,21)</f>
        <v/>
      </c>
      <c r="D8" s="24">
        <f>SUMIFS('S32 5-10 đến 19-10'!$Q$3:$Q$44,'S32 5-10 đến 19-10'!$B$3:$B$44,$A8,'S32 5-10 đến 19-10'!$R$3:$R$44,D$3)</f>
        <v/>
      </c>
      <c r="E8" s="24">
        <f>SUMIFS('S32 5-10 đến 19-10'!$Q$3:$Q$44,'S32 5-10 đến 19-10'!$B$3:$B$44,$A8,'S32 5-10 đến 19-10'!$R$3:$R$44,E$3)</f>
        <v/>
      </c>
      <c r="F8" s="24">
        <f>SUMIFS('S32 5-10 đến 19-10'!$Q$3:$Q$44,'S32 5-10 đến 19-10'!$B$3:$B$44,$A8,'S32 5-10 đến 19-10'!$R$3:$R$44,F$3)</f>
        <v/>
      </c>
      <c r="G8" s="24">
        <f>SUMIFS('S32 5-10 đến 19-10'!$Q$3:$Q$44,'S32 5-10 đến 19-10'!$B$3:$B$44,$A8,'S32 5-10 đến 19-10'!$R$3:$R$44,G$3)</f>
        <v/>
      </c>
      <c r="H8" s="24">
        <f>SUMIFS('S32 5-10 đến 19-10'!$Q$3:$Q$44,'S32 5-10 đến 19-10'!$B$3:$B$44,$A8,'S32 5-10 đến 19-10'!$R$3:$R$44,H$3)</f>
        <v/>
      </c>
      <c r="I8" s="24">
        <f>SUMIFS('S32 5-10 đến 19-10'!$Q$3:$Q$44,'S32 5-10 đến 19-10'!$B$3:$B$44,$A8,'S32 5-10 đến 19-10'!$R$3:$R$44,I$3)</f>
        <v/>
      </c>
      <c r="J8" s="24">
        <f>SUMIFS('S32 5-10 đến 19-10'!$Q$3:$Q$44,'S32 5-10 đến 19-10'!$B$3:$B$44,$A8,'S32 5-10 đến 19-10'!$R$3:$R$44,J$3)</f>
        <v/>
      </c>
      <c r="K8" s="24">
        <f>SUMIFS('S32 5-10 đến 19-10'!$Q$3:$Q$44,'S32 5-10 đến 19-10'!$B$3:$B$44,$A8,'S32 5-10 đến 19-10'!$R$3:$R$44,K$3)</f>
        <v/>
      </c>
      <c r="L8" s="25">
        <f>SUM(D8:K8)</f>
        <v/>
      </c>
    </row>
    <row r="9">
      <c r="A9" s="22" t="n">
        <v>46305</v>
      </c>
      <c r="B9" s="23" t="inlineStr">
        <is>
          <t>Thứ Bảy</t>
        </is>
      </c>
      <c r="C9" s="23">
        <f>"W"&amp;WEEKNUM(A9,21)</f>
        <v/>
      </c>
      <c r="D9" s="24">
        <f>SUMIFS('S32 5-10 đến 19-10'!$Q$3:$Q$44,'S32 5-10 đến 19-10'!$B$3:$B$44,$A9,'S32 5-10 đến 19-10'!$R$3:$R$44,D$3)</f>
        <v/>
      </c>
      <c r="E9" s="24">
        <f>SUMIFS('S32 5-10 đến 19-10'!$Q$3:$Q$44,'S32 5-10 đến 19-10'!$B$3:$B$44,$A9,'S32 5-10 đến 19-10'!$R$3:$R$44,E$3)</f>
        <v/>
      </c>
      <c r="F9" s="24">
        <f>SUMIFS('S32 5-10 đến 19-10'!$Q$3:$Q$44,'S32 5-10 đến 19-10'!$B$3:$B$44,$A9,'S32 5-10 đến 19-10'!$R$3:$R$44,F$3)</f>
        <v/>
      </c>
      <c r="G9" s="24">
        <f>SUMIFS('S32 5-10 đến 19-10'!$Q$3:$Q$44,'S32 5-10 đến 19-10'!$B$3:$B$44,$A9,'S32 5-10 đến 19-10'!$R$3:$R$44,G$3)</f>
        <v/>
      </c>
      <c r="H9" s="24">
        <f>SUMIFS('S32 5-10 đến 19-10'!$Q$3:$Q$44,'S32 5-10 đến 19-10'!$B$3:$B$44,$A9,'S32 5-10 đến 19-10'!$R$3:$R$44,H$3)</f>
        <v/>
      </c>
      <c r="I9" s="24">
        <f>SUMIFS('S32 5-10 đến 19-10'!$Q$3:$Q$44,'S32 5-10 đến 19-10'!$B$3:$B$44,$A9,'S32 5-10 đến 19-10'!$R$3:$R$44,I$3)</f>
        <v/>
      </c>
      <c r="J9" s="24">
        <f>SUMIFS('S32 5-10 đến 19-10'!$Q$3:$Q$44,'S32 5-10 đến 19-10'!$B$3:$B$44,$A9,'S32 5-10 đến 19-10'!$R$3:$R$44,J$3)</f>
        <v/>
      </c>
      <c r="K9" s="24">
        <f>SUMIFS('S32 5-10 đến 19-10'!$Q$3:$Q$44,'S32 5-10 đến 19-10'!$B$3:$B$44,$A9,'S32 5-10 đến 19-10'!$R$3:$R$44,K$3)</f>
        <v/>
      </c>
      <c r="L9" s="25">
        <f>SUM(D9:K9)</f>
        <v/>
      </c>
    </row>
    <row r="10">
      <c r="A10" s="22" t="n">
        <v>46306</v>
      </c>
      <c r="B10" s="23" t="inlineStr">
        <is>
          <t>Chủ nhật</t>
        </is>
      </c>
      <c r="C10" s="23">
        <f>"W"&amp;WEEKNUM(A10,21)</f>
        <v/>
      </c>
      <c r="D10" s="24">
        <f>SUMIFS('S32 5-10 đến 19-10'!$Q$3:$Q$44,'S32 5-10 đến 19-10'!$B$3:$B$44,$A10,'S32 5-10 đến 19-10'!$R$3:$R$44,D$3)</f>
        <v/>
      </c>
      <c r="E10" s="24">
        <f>SUMIFS('S32 5-10 đến 19-10'!$Q$3:$Q$44,'S32 5-10 đến 19-10'!$B$3:$B$44,$A10,'S32 5-10 đến 19-10'!$R$3:$R$44,E$3)</f>
        <v/>
      </c>
      <c r="F10" s="24">
        <f>SUMIFS('S32 5-10 đến 19-10'!$Q$3:$Q$44,'S32 5-10 đến 19-10'!$B$3:$B$44,$A10,'S32 5-10 đến 19-10'!$R$3:$R$44,F$3)</f>
        <v/>
      </c>
      <c r="G10" s="24">
        <f>SUMIFS('S32 5-10 đến 19-10'!$Q$3:$Q$44,'S32 5-10 đến 19-10'!$B$3:$B$44,$A10,'S32 5-10 đến 19-10'!$R$3:$R$44,G$3)</f>
        <v/>
      </c>
      <c r="H10" s="24">
        <f>SUMIFS('S32 5-10 đến 19-10'!$Q$3:$Q$44,'S32 5-10 đến 19-10'!$B$3:$B$44,$A10,'S32 5-10 đến 19-10'!$R$3:$R$44,H$3)</f>
        <v/>
      </c>
      <c r="I10" s="24">
        <f>SUMIFS('S32 5-10 đến 19-10'!$Q$3:$Q$44,'S32 5-10 đến 19-10'!$B$3:$B$44,$A10,'S32 5-10 đến 19-10'!$R$3:$R$44,I$3)</f>
        <v/>
      </c>
      <c r="J10" s="24">
        <f>SUMIFS('S32 5-10 đến 19-10'!$Q$3:$Q$44,'S32 5-10 đến 19-10'!$B$3:$B$44,$A10,'S32 5-10 đến 19-10'!$R$3:$R$44,J$3)</f>
        <v/>
      </c>
      <c r="K10" s="24">
        <f>SUMIFS('S32 5-10 đến 19-10'!$Q$3:$Q$44,'S32 5-10 đến 19-10'!$B$3:$B$44,$A10,'S32 5-10 đến 19-10'!$R$3:$R$44,K$3)</f>
        <v/>
      </c>
      <c r="L10" s="25">
        <f>SUM(D10:K10)</f>
        <v/>
      </c>
    </row>
    <row r="11">
      <c r="A11" s="22" t="n">
        <v>46307</v>
      </c>
      <c r="B11" s="23" t="inlineStr">
        <is>
          <t>Thứ Hai</t>
        </is>
      </c>
      <c r="C11" s="23">
        <f>"W"&amp;WEEKNUM(A11,21)</f>
        <v/>
      </c>
      <c r="D11" s="24">
        <f>SUMIFS('S32 5-10 đến 19-10'!$Q$3:$Q$44,'S32 5-10 đến 19-10'!$B$3:$B$44,$A11,'S32 5-10 đến 19-10'!$R$3:$R$44,D$3)</f>
        <v/>
      </c>
      <c r="E11" s="24">
        <f>SUMIFS('S32 5-10 đến 19-10'!$Q$3:$Q$44,'S32 5-10 đến 19-10'!$B$3:$B$44,$A11,'S32 5-10 đến 19-10'!$R$3:$R$44,E$3)</f>
        <v/>
      </c>
      <c r="F11" s="24">
        <f>SUMIFS('S32 5-10 đến 19-10'!$Q$3:$Q$44,'S32 5-10 đến 19-10'!$B$3:$B$44,$A11,'S32 5-10 đến 19-10'!$R$3:$R$44,F$3)</f>
        <v/>
      </c>
      <c r="G11" s="24">
        <f>SUMIFS('S32 5-10 đến 19-10'!$Q$3:$Q$44,'S32 5-10 đến 19-10'!$B$3:$B$44,$A11,'S32 5-10 đến 19-10'!$R$3:$R$44,G$3)</f>
        <v/>
      </c>
      <c r="H11" s="24">
        <f>SUMIFS('S32 5-10 đến 19-10'!$Q$3:$Q$44,'S32 5-10 đến 19-10'!$B$3:$B$44,$A11,'S32 5-10 đến 19-10'!$R$3:$R$44,H$3)</f>
        <v/>
      </c>
      <c r="I11" s="24">
        <f>SUMIFS('S32 5-10 đến 19-10'!$Q$3:$Q$44,'S32 5-10 đến 19-10'!$B$3:$B$44,$A11,'S32 5-10 đến 19-10'!$R$3:$R$44,I$3)</f>
        <v/>
      </c>
      <c r="J11" s="24">
        <f>SUMIFS('S32 5-10 đến 19-10'!$Q$3:$Q$44,'S32 5-10 đến 19-10'!$B$3:$B$44,$A11,'S32 5-10 đến 19-10'!$R$3:$R$44,J$3)</f>
        <v/>
      </c>
      <c r="K11" s="24">
        <f>SUMIFS('S32 5-10 đến 19-10'!$Q$3:$Q$44,'S32 5-10 đến 19-10'!$B$3:$B$44,$A11,'S32 5-10 đến 19-10'!$R$3:$R$44,K$3)</f>
        <v/>
      </c>
      <c r="L11" s="25">
        <f>SUM(D11:K11)</f>
        <v/>
      </c>
    </row>
    <row r="12">
      <c r="A12" s="22" t="n">
        <v>46308</v>
      </c>
      <c r="B12" s="23" t="inlineStr">
        <is>
          <t>Thứ Ba</t>
        </is>
      </c>
      <c r="C12" s="23">
        <f>"W"&amp;WEEKNUM(A12,21)</f>
        <v/>
      </c>
      <c r="D12" s="24">
        <f>SUMIFS('S32 5-10 đến 19-10'!$Q$3:$Q$44,'S32 5-10 đến 19-10'!$B$3:$B$44,$A12,'S32 5-10 đến 19-10'!$R$3:$R$44,D$3)</f>
        <v/>
      </c>
      <c r="E12" s="24">
        <f>SUMIFS('S32 5-10 đến 19-10'!$Q$3:$Q$44,'S32 5-10 đến 19-10'!$B$3:$B$44,$A12,'S32 5-10 đến 19-10'!$R$3:$R$44,E$3)</f>
        <v/>
      </c>
      <c r="F12" s="24">
        <f>SUMIFS('S32 5-10 đến 19-10'!$Q$3:$Q$44,'S32 5-10 đến 19-10'!$B$3:$B$44,$A12,'S32 5-10 đến 19-10'!$R$3:$R$44,F$3)</f>
        <v/>
      </c>
      <c r="G12" s="24">
        <f>SUMIFS('S32 5-10 đến 19-10'!$Q$3:$Q$44,'S32 5-10 đến 19-10'!$B$3:$B$44,$A12,'S32 5-10 đến 19-10'!$R$3:$R$44,G$3)</f>
        <v/>
      </c>
      <c r="H12" s="24">
        <f>SUMIFS('S32 5-10 đến 19-10'!$Q$3:$Q$44,'S32 5-10 đến 19-10'!$B$3:$B$44,$A12,'S32 5-10 đến 19-10'!$R$3:$R$44,H$3)</f>
        <v/>
      </c>
      <c r="I12" s="24">
        <f>SUMIFS('S32 5-10 đến 19-10'!$Q$3:$Q$44,'S32 5-10 đến 19-10'!$B$3:$B$44,$A12,'S32 5-10 đến 19-10'!$R$3:$R$44,I$3)</f>
        <v/>
      </c>
      <c r="J12" s="24">
        <f>SUMIFS('S32 5-10 đến 19-10'!$Q$3:$Q$44,'S32 5-10 đến 19-10'!$B$3:$B$44,$A12,'S32 5-10 đến 19-10'!$R$3:$R$44,J$3)</f>
        <v/>
      </c>
      <c r="K12" s="24">
        <f>SUMIFS('S32 5-10 đến 19-10'!$Q$3:$Q$44,'S32 5-10 đến 19-10'!$B$3:$B$44,$A12,'S32 5-10 đến 19-10'!$R$3:$R$44,K$3)</f>
        <v/>
      </c>
      <c r="L12" s="25">
        <f>SUM(D12:K12)</f>
        <v/>
      </c>
    </row>
    <row r="13">
      <c r="A13" s="22" t="n">
        <v>46309</v>
      </c>
      <c r="B13" s="23" t="inlineStr">
        <is>
          <t>Thứ Tư</t>
        </is>
      </c>
      <c r="C13" s="23">
        <f>"W"&amp;WEEKNUM(A13,21)</f>
        <v/>
      </c>
      <c r="D13" s="24">
        <f>SUMIFS('S32 5-10 đến 19-10'!$Q$3:$Q$44,'S32 5-10 đến 19-10'!$B$3:$B$44,$A13,'S32 5-10 đến 19-10'!$R$3:$R$44,D$3)</f>
        <v/>
      </c>
      <c r="E13" s="24">
        <f>SUMIFS('S32 5-10 đến 19-10'!$Q$3:$Q$44,'S32 5-10 đến 19-10'!$B$3:$B$44,$A13,'S32 5-10 đến 19-10'!$R$3:$R$44,E$3)</f>
        <v/>
      </c>
      <c r="F13" s="24">
        <f>SUMIFS('S32 5-10 đến 19-10'!$Q$3:$Q$44,'S32 5-10 đến 19-10'!$B$3:$B$44,$A13,'S32 5-10 đến 19-10'!$R$3:$R$44,F$3)</f>
        <v/>
      </c>
      <c r="G13" s="24">
        <f>SUMIFS('S32 5-10 đến 19-10'!$Q$3:$Q$44,'S32 5-10 đến 19-10'!$B$3:$B$44,$A13,'S32 5-10 đến 19-10'!$R$3:$R$44,G$3)</f>
        <v/>
      </c>
      <c r="H13" s="24">
        <f>SUMIFS('S32 5-10 đến 19-10'!$Q$3:$Q$44,'S32 5-10 đến 19-10'!$B$3:$B$44,$A13,'S32 5-10 đến 19-10'!$R$3:$R$44,H$3)</f>
        <v/>
      </c>
      <c r="I13" s="24">
        <f>SUMIFS('S32 5-10 đến 19-10'!$Q$3:$Q$44,'S32 5-10 đến 19-10'!$B$3:$B$44,$A13,'S32 5-10 đến 19-10'!$R$3:$R$44,I$3)</f>
        <v/>
      </c>
      <c r="J13" s="24">
        <f>SUMIFS('S32 5-10 đến 19-10'!$Q$3:$Q$44,'S32 5-10 đến 19-10'!$B$3:$B$44,$A13,'S32 5-10 đến 19-10'!$R$3:$R$44,J$3)</f>
        <v/>
      </c>
      <c r="K13" s="24">
        <f>SUMIFS('S32 5-10 đến 19-10'!$Q$3:$Q$44,'S32 5-10 đến 19-10'!$B$3:$B$44,$A13,'S32 5-10 đến 19-10'!$R$3:$R$44,K$3)</f>
        <v/>
      </c>
      <c r="L13" s="25">
        <f>SUM(D13:K13)</f>
        <v/>
      </c>
    </row>
    <row r="14">
      <c r="A14" s="22" t="n">
        <v>46310</v>
      </c>
      <c r="B14" s="23" t="inlineStr">
        <is>
          <t>Thứ Năm</t>
        </is>
      </c>
      <c r="C14" s="23">
        <f>"W"&amp;WEEKNUM(A14,21)</f>
        <v/>
      </c>
      <c r="D14" s="24">
        <f>SUMIFS('S32 5-10 đến 19-10'!$Q$3:$Q$44,'S32 5-10 đến 19-10'!$B$3:$B$44,$A14,'S32 5-10 đến 19-10'!$R$3:$R$44,D$3)</f>
        <v/>
      </c>
      <c r="E14" s="24">
        <f>SUMIFS('S32 5-10 đến 19-10'!$Q$3:$Q$44,'S32 5-10 đến 19-10'!$B$3:$B$44,$A14,'S32 5-10 đến 19-10'!$R$3:$R$44,E$3)</f>
        <v/>
      </c>
      <c r="F14" s="24">
        <f>SUMIFS('S32 5-10 đến 19-10'!$Q$3:$Q$44,'S32 5-10 đến 19-10'!$B$3:$B$44,$A14,'S32 5-10 đến 19-10'!$R$3:$R$44,F$3)</f>
        <v/>
      </c>
      <c r="G14" s="24">
        <f>SUMIFS('S32 5-10 đến 19-10'!$Q$3:$Q$44,'S32 5-10 đến 19-10'!$B$3:$B$44,$A14,'S32 5-10 đến 19-10'!$R$3:$R$44,G$3)</f>
        <v/>
      </c>
      <c r="H14" s="24">
        <f>SUMIFS('S32 5-10 đến 19-10'!$Q$3:$Q$44,'S32 5-10 đến 19-10'!$B$3:$B$44,$A14,'S32 5-10 đến 19-10'!$R$3:$R$44,H$3)</f>
        <v/>
      </c>
      <c r="I14" s="24">
        <f>SUMIFS('S32 5-10 đến 19-10'!$Q$3:$Q$44,'S32 5-10 đến 19-10'!$B$3:$B$44,$A14,'S32 5-10 đến 19-10'!$R$3:$R$44,I$3)</f>
        <v/>
      </c>
      <c r="J14" s="24">
        <f>SUMIFS('S32 5-10 đến 19-10'!$Q$3:$Q$44,'S32 5-10 đến 19-10'!$B$3:$B$44,$A14,'S32 5-10 đến 19-10'!$R$3:$R$44,J$3)</f>
        <v/>
      </c>
      <c r="K14" s="24">
        <f>SUMIFS('S32 5-10 đến 19-10'!$Q$3:$Q$44,'S32 5-10 đến 19-10'!$B$3:$B$44,$A14,'S32 5-10 đến 19-10'!$R$3:$R$44,K$3)</f>
        <v/>
      </c>
      <c r="L14" s="25">
        <f>SUM(D14:K14)</f>
        <v/>
      </c>
    </row>
    <row r="15">
      <c r="A15" s="22" t="n">
        <v>46311</v>
      </c>
      <c r="B15" s="23" t="inlineStr">
        <is>
          <t>Thứ Sáu</t>
        </is>
      </c>
      <c r="C15" s="23">
        <f>"W"&amp;WEEKNUM(A15,21)</f>
        <v/>
      </c>
      <c r="D15" s="24">
        <f>SUMIFS('S32 5-10 đến 19-10'!$Q$3:$Q$44,'S32 5-10 đến 19-10'!$B$3:$B$44,$A15,'S32 5-10 đến 19-10'!$R$3:$R$44,D$3)</f>
        <v/>
      </c>
      <c r="E15" s="24">
        <f>SUMIFS('S32 5-10 đến 19-10'!$Q$3:$Q$44,'S32 5-10 đến 19-10'!$B$3:$B$44,$A15,'S32 5-10 đến 19-10'!$R$3:$R$44,E$3)</f>
        <v/>
      </c>
      <c r="F15" s="24">
        <f>SUMIFS('S32 5-10 đến 19-10'!$Q$3:$Q$44,'S32 5-10 đến 19-10'!$B$3:$B$44,$A15,'S32 5-10 đến 19-10'!$R$3:$R$44,F$3)</f>
        <v/>
      </c>
      <c r="G15" s="24">
        <f>SUMIFS('S32 5-10 đến 19-10'!$Q$3:$Q$44,'S32 5-10 đến 19-10'!$B$3:$B$44,$A15,'S32 5-10 đến 19-10'!$R$3:$R$44,G$3)</f>
        <v/>
      </c>
      <c r="H15" s="24">
        <f>SUMIFS('S32 5-10 đến 19-10'!$Q$3:$Q$44,'S32 5-10 đến 19-10'!$B$3:$B$44,$A15,'S32 5-10 đến 19-10'!$R$3:$R$44,H$3)</f>
        <v/>
      </c>
      <c r="I15" s="24">
        <f>SUMIFS('S32 5-10 đến 19-10'!$Q$3:$Q$44,'S32 5-10 đến 19-10'!$B$3:$B$44,$A15,'S32 5-10 đến 19-10'!$R$3:$R$44,I$3)</f>
        <v/>
      </c>
      <c r="J15" s="24">
        <f>SUMIFS('S32 5-10 đến 19-10'!$Q$3:$Q$44,'S32 5-10 đến 19-10'!$B$3:$B$44,$A15,'S32 5-10 đến 19-10'!$R$3:$R$44,J$3)</f>
        <v/>
      </c>
      <c r="K15" s="24">
        <f>SUMIFS('S32 5-10 đến 19-10'!$Q$3:$Q$44,'S32 5-10 đến 19-10'!$B$3:$B$44,$A15,'S32 5-10 đến 19-10'!$R$3:$R$44,K$3)</f>
        <v/>
      </c>
      <c r="L15" s="25">
        <f>SUM(D15:K15)</f>
        <v/>
      </c>
    </row>
    <row r="16">
      <c r="A16" s="22" t="n">
        <v>46312</v>
      </c>
      <c r="B16" s="23" t="inlineStr">
        <is>
          <t>Thứ Bảy</t>
        </is>
      </c>
      <c r="C16" s="23">
        <f>"W"&amp;WEEKNUM(A16,21)</f>
        <v/>
      </c>
      <c r="D16" s="24">
        <f>SUMIFS('S32 5-10 đến 19-10'!$Q$3:$Q$44,'S32 5-10 đến 19-10'!$B$3:$B$44,$A16,'S32 5-10 đến 19-10'!$R$3:$R$44,D$3)</f>
        <v/>
      </c>
      <c r="E16" s="24">
        <f>SUMIFS('S32 5-10 đến 19-10'!$Q$3:$Q$44,'S32 5-10 đến 19-10'!$B$3:$B$44,$A16,'S32 5-10 đến 19-10'!$R$3:$R$44,E$3)</f>
        <v/>
      </c>
      <c r="F16" s="24">
        <f>SUMIFS('S32 5-10 đến 19-10'!$Q$3:$Q$44,'S32 5-10 đến 19-10'!$B$3:$B$44,$A16,'S32 5-10 đến 19-10'!$R$3:$R$44,F$3)</f>
        <v/>
      </c>
      <c r="G16" s="24">
        <f>SUMIFS('S32 5-10 đến 19-10'!$Q$3:$Q$44,'S32 5-10 đến 19-10'!$B$3:$B$44,$A16,'S32 5-10 đến 19-10'!$R$3:$R$44,G$3)</f>
        <v/>
      </c>
      <c r="H16" s="24">
        <f>SUMIFS('S32 5-10 đến 19-10'!$Q$3:$Q$44,'S32 5-10 đến 19-10'!$B$3:$B$44,$A16,'S32 5-10 đến 19-10'!$R$3:$R$44,H$3)</f>
        <v/>
      </c>
      <c r="I16" s="24">
        <f>SUMIFS('S32 5-10 đến 19-10'!$Q$3:$Q$44,'S32 5-10 đến 19-10'!$B$3:$B$44,$A16,'S32 5-10 đến 19-10'!$R$3:$R$44,I$3)</f>
        <v/>
      </c>
      <c r="J16" s="24">
        <f>SUMIFS('S32 5-10 đến 19-10'!$Q$3:$Q$44,'S32 5-10 đến 19-10'!$B$3:$B$44,$A16,'S32 5-10 đến 19-10'!$R$3:$R$44,J$3)</f>
        <v/>
      </c>
      <c r="K16" s="24">
        <f>SUMIFS('S32 5-10 đến 19-10'!$Q$3:$Q$44,'S32 5-10 đến 19-10'!$B$3:$B$44,$A16,'S32 5-10 đến 19-10'!$R$3:$R$44,K$3)</f>
        <v/>
      </c>
      <c r="L16" s="25">
        <f>SUM(D16:K16)</f>
        <v/>
      </c>
    </row>
    <row r="17">
      <c r="A17" s="22" t="n">
        <v>46314</v>
      </c>
      <c r="B17" s="23" t="inlineStr">
        <is>
          <t>Thứ Hai</t>
        </is>
      </c>
      <c r="C17" s="23">
        <f>"W"&amp;WEEKNUM(A17,21)</f>
        <v/>
      </c>
      <c r="D17" s="24">
        <f>SUMIFS('S32 5-10 đến 19-10'!$Q$3:$Q$44,'S32 5-10 đến 19-10'!$B$3:$B$44,$A17,'S32 5-10 đến 19-10'!$R$3:$R$44,D$3)</f>
        <v/>
      </c>
      <c r="E17" s="24">
        <f>SUMIFS('S32 5-10 đến 19-10'!$Q$3:$Q$44,'S32 5-10 đến 19-10'!$B$3:$B$44,$A17,'S32 5-10 đến 19-10'!$R$3:$R$44,E$3)</f>
        <v/>
      </c>
      <c r="F17" s="24">
        <f>SUMIFS('S32 5-10 đến 19-10'!$Q$3:$Q$44,'S32 5-10 đến 19-10'!$B$3:$B$44,$A17,'S32 5-10 đến 19-10'!$R$3:$R$44,F$3)</f>
        <v/>
      </c>
      <c r="G17" s="24">
        <f>SUMIFS('S32 5-10 đến 19-10'!$Q$3:$Q$44,'S32 5-10 đến 19-10'!$B$3:$B$44,$A17,'S32 5-10 đến 19-10'!$R$3:$R$44,G$3)</f>
        <v/>
      </c>
      <c r="H17" s="24">
        <f>SUMIFS('S32 5-10 đến 19-10'!$Q$3:$Q$44,'S32 5-10 đến 19-10'!$B$3:$B$44,$A17,'S32 5-10 đến 19-10'!$R$3:$R$44,H$3)</f>
        <v/>
      </c>
      <c r="I17" s="24">
        <f>SUMIFS('S32 5-10 đến 19-10'!$Q$3:$Q$44,'S32 5-10 đến 19-10'!$B$3:$B$44,$A17,'S32 5-10 đến 19-10'!$R$3:$R$44,I$3)</f>
        <v/>
      </c>
      <c r="J17" s="24">
        <f>SUMIFS('S32 5-10 đến 19-10'!$Q$3:$Q$44,'S32 5-10 đến 19-10'!$B$3:$B$44,$A17,'S32 5-10 đến 19-10'!$R$3:$R$44,J$3)</f>
        <v/>
      </c>
      <c r="K17" s="24">
        <f>SUMIFS('S32 5-10 đến 19-10'!$Q$3:$Q$44,'S32 5-10 đến 19-10'!$B$3:$B$44,$A17,'S32 5-10 đến 19-10'!$R$3:$R$44,K$3)</f>
        <v/>
      </c>
      <c r="L17" s="25">
        <f>SUM(D17:K17)</f>
        <v/>
      </c>
    </row>
    <row r="18">
      <c r="A18" s="26" t="inlineStr">
        <is>
          <t>Tổng</t>
        </is>
      </c>
      <c r="B18" s="26" t="n"/>
      <c r="C18" s="26" t="n"/>
      <c r="D18" s="25">
        <f>SUM(D4:D17)</f>
        <v/>
      </c>
      <c r="E18" s="25">
        <f>SUM(E4:E17)</f>
        <v/>
      </c>
      <c r="F18" s="25">
        <f>SUM(F4:F17)</f>
        <v/>
      </c>
      <c r="G18" s="25">
        <f>SUM(G4:G17)</f>
        <v/>
      </c>
      <c r="H18" s="25">
        <f>SUM(H4:H17)</f>
        <v/>
      </c>
      <c r="I18" s="25">
        <f>SUM(I4:I17)</f>
        <v/>
      </c>
      <c r="J18" s="25">
        <f>SUM(J4:J17)</f>
        <v/>
      </c>
      <c r="K18" s="25">
        <f>SUM(K4:K17)</f>
        <v/>
      </c>
      <c r="L18" s="25">
        <f>SUM(L4:L17)</f>
        <v/>
      </c>
    </row>
    <row r="20">
      <c r="A20" s="18" t="inlineStr">
        <is>
          <t>TỔNG THEO TUẦN</t>
        </is>
      </c>
    </row>
    <row r="21">
      <c r="A21" s="2" t="inlineStr">
        <is>
          <t>Tuần</t>
        </is>
      </c>
      <c r="B21" s="2" t="inlineStr">
        <is>
          <t>Giờ công</t>
        </is>
      </c>
    </row>
    <row r="22">
      <c r="A22" s="27" t="inlineStr">
        <is>
          <t>W41</t>
        </is>
      </c>
      <c r="B22" s="28">
        <f>SUMIFS('S32 5-10 đến 19-10'!$Q$3:$Q$44,'S32 5-10 đến 19-10'!$A$3:$A$44,A22)</f>
        <v/>
      </c>
    </row>
    <row r="23">
      <c r="A23" s="27" t="inlineStr">
        <is>
          <t>W42</t>
        </is>
      </c>
      <c r="B23" s="28">
        <f>SUMIFS('S32 5-10 đến 19-10'!$Q$3:$Q$44,'S32 5-10 đến 19-10'!$A$3:$A$44,A23)</f>
        <v/>
      </c>
    </row>
    <row r="24">
      <c r="A24" s="27" t="inlineStr">
        <is>
          <t>W43</t>
        </is>
      </c>
      <c r="B24" s="28">
        <f>SUMIFS('S32 5-10 đến 19-10'!$Q$3:$Q$44,'S32 5-10 đến 19-10'!$A$3:$A$44,A24)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4" customWidth="1" min="3" max="3"/>
    <col width="12" customWidth="1" min="4" max="4"/>
    <col width="14" customWidth="1" min="5" max="5"/>
    <col width="8" customWidth="1" min="6" max="6"/>
    <col width="8" customWidth="1" min="7" max="7"/>
    <col width="10" customWidth="1" min="8" max="8"/>
    <col width="30" customWidth="1" min="9" max="9"/>
    <col width="12" customWidth="1" min="10" max="10"/>
    <col width="36" customWidth="1" min="11" max="11"/>
    <col width="22" customWidth="1" min="12" max="12"/>
  </cols>
  <sheetData>
    <row r="1" ht="34" customHeight="1">
      <c r="A1" s="2" t="inlineStr">
        <is>
          <t>Ngày (Loss Date)</t>
        </is>
      </c>
      <c r="B1" s="2" t="inlineStr">
        <is>
          <t>LossTime Code</t>
        </is>
      </c>
      <c r="C1" s="2" t="inlineStr">
        <is>
          <t>Notes</t>
        </is>
      </c>
      <c r="D1" s="2" t="inlineStr">
        <is>
          <t>Process</t>
        </is>
      </c>
      <c r="E1" s="2" t="inlineStr">
        <is>
          <t>Dept In Charge</t>
        </is>
      </c>
      <c r="F1" s="2" t="inlineStr">
        <is>
          <t>From</t>
        </is>
      </c>
      <c r="G1" s="2" t="inlineStr">
        <is>
          <t>To</t>
        </is>
      </c>
      <c r="H1" s="2" t="inlineStr">
        <is>
          <t>Worker Qty</t>
        </is>
      </c>
      <c r="I1" s="29" t="inlineStr">
        <is>
          <t>(Tham khảo) Part Number</t>
        </is>
      </c>
      <c r="J1" s="29" t="inlineStr">
        <is>
          <t>(Tham khảo) Total Order</t>
        </is>
      </c>
      <c r="K1" s="29" t="inlineStr">
        <is>
          <t>(Tham khảo) Ghi chú</t>
        </is>
      </c>
      <c r="L1" s="29" t="inlineStr">
        <is>
          <t>(Tham khảo) Nguồn</t>
        </is>
      </c>
    </row>
    <row r="2">
      <c r="A2" s="30" t="n">
        <v>46300</v>
      </c>
      <c r="B2" s="31" t="inlineStr">
        <is>
          <t>S32</t>
        </is>
      </c>
      <c r="C2" s="32" t="inlineStr">
        <is>
          <t>Hỗ trợ P1 ép nóng</t>
        </is>
      </c>
      <c r="D2" s="31" t="inlineStr">
        <is>
          <t>RC - PANEL</t>
        </is>
      </c>
      <c r="E2" s="31" t="inlineStr">
        <is>
          <t>P1</t>
        </is>
      </c>
      <c r="F2" s="33" t="n">
        <v>0.2708333333333333</v>
      </c>
      <c r="G2" s="33" t="n">
        <v>0.4375</v>
      </c>
      <c r="H2" s="31" t="n">
        <v>4</v>
      </c>
      <c r="I2" s="34" t="inlineStr">
        <is>
          <t>CZ842F188+CZ842F381+CZ842F409</t>
        </is>
      </c>
      <c r="J2" s="35" t="n">
        <v>25</v>
      </c>
      <c r="K2" s="36" t="inlineStr">
        <is>
          <t>Hỗ trợ P1 (3 mã hàng, 1 ca)</t>
        </is>
      </c>
      <c r="L2" s="35" t="inlineStr">
        <is>
          <t>File Ép nóng</t>
        </is>
      </c>
    </row>
    <row r="3">
      <c r="A3" s="30" t="n">
        <v>46300</v>
      </c>
      <c r="B3" s="31" t="inlineStr">
        <is>
          <t>S32</t>
        </is>
      </c>
      <c r="C3" s="32" t="inlineStr">
        <is>
          <t>Hỗ trợ P1 ép nóng - ép lót</t>
        </is>
      </c>
      <c r="D3" s="31" t="inlineStr">
        <is>
          <t>RC - PANEL</t>
        </is>
      </c>
      <c r="E3" s="31" t="inlineStr">
        <is>
          <t>P1</t>
        </is>
      </c>
      <c r="F3" s="33" t="n">
        <v>0.2916666666666667</v>
      </c>
      <c r="G3" s="33" t="n">
        <v>0.5416666666666666</v>
      </c>
      <c r="H3" s="31" t="n">
        <v>5</v>
      </c>
      <c r="I3" s="34" t="inlineStr">
        <is>
          <t>CE517F992-TOP+CE592F1222-TOP</t>
        </is>
      </c>
      <c r="J3" s="35" t="n">
        <v>50</v>
      </c>
      <c r="K3" s="36" t="inlineStr">
        <is>
          <t>Ép lót (2 mã hàng)</t>
        </is>
      </c>
      <c r="L3" s="35" t="inlineStr">
        <is>
          <t>File Ép nóng</t>
        </is>
      </c>
    </row>
    <row r="4">
      <c r="A4" s="30" t="n">
        <v>46300</v>
      </c>
      <c r="B4" s="31" t="inlineStr">
        <is>
          <t>S32</t>
        </is>
      </c>
      <c r="C4" s="32" t="inlineStr">
        <is>
          <t>Không có bomtime chuyền UV</t>
        </is>
      </c>
      <c r="D4" s="31" t="inlineStr">
        <is>
          <t>RC - PANEL</t>
        </is>
      </c>
      <c r="E4" s="31" t="inlineStr">
        <is>
          <t>Finishing</t>
        </is>
      </c>
      <c r="F4" s="33" t="n">
        <v>0.3125</v>
      </c>
      <c r="G4" s="33" t="n">
        <v>0.6458333333333334</v>
      </c>
      <c r="H4" s="31" t="n">
        <v>11</v>
      </c>
      <c r="I4" s="34" t="n"/>
      <c r="J4" s="35" t="n"/>
      <c r="K4" s="36" t="inlineStr">
        <is>
          <t>HC làm việc (ca thường)</t>
        </is>
      </c>
      <c r="L4" s="35" t="inlineStr">
        <is>
          <t>File UV (báo cáo ngày)</t>
        </is>
      </c>
    </row>
    <row r="5">
      <c r="A5" s="30" t="n">
        <v>46300</v>
      </c>
      <c r="B5" s="31" t="inlineStr">
        <is>
          <t>S32</t>
        </is>
      </c>
      <c r="C5" s="32" t="inlineStr">
        <is>
          <t>Không có bomtime chuyền UV</t>
        </is>
      </c>
      <c r="D5" s="31" t="inlineStr">
        <is>
          <t>RC - PANEL</t>
        </is>
      </c>
      <c r="E5" s="31" t="inlineStr">
        <is>
          <t>Finishing</t>
        </is>
      </c>
      <c r="F5" s="33" t="n">
        <v>0.6458333333333334</v>
      </c>
      <c r="G5" s="33" t="n">
        <v>0.8125</v>
      </c>
      <c r="H5" s="31" t="n">
        <v>8</v>
      </c>
      <c r="I5" s="34" t="n"/>
      <c r="J5" s="35" t="n"/>
      <c r="K5" s="36" t="inlineStr">
        <is>
          <t>HC tăng ca (OT 4 giờ)</t>
        </is>
      </c>
      <c r="L5" s="35" t="inlineStr">
        <is>
          <t>File UV (báo cáo ngày)</t>
        </is>
      </c>
    </row>
    <row r="6">
      <c r="A6" s="30" t="n">
        <v>46301</v>
      </c>
      <c r="B6" s="31" t="inlineStr">
        <is>
          <t>S32</t>
        </is>
      </c>
      <c r="C6" s="32" t="inlineStr">
        <is>
          <t>Hỗ trợ P1 ép nóng - ép chính</t>
        </is>
      </c>
      <c r="D6" s="31" t="inlineStr">
        <is>
          <t>RC - PANEL</t>
        </is>
      </c>
      <c r="E6" s="31" t="inlineStr">
        <is>
          <t>P1</t>
        </is>
      </c>
      <c r="F6" s="33" t="n">
        <v>0.2916666666666667</v>
      </c>
      <c r="G6" s="33" t="n">
        <v>0.75</v>
      </c>
      <c r="H6" s="31" t="n">
        <v>5</v>
      </c>
      <c r="I6" s="34" t="inlineStr">
        <is>
          <t>CE517F992-TOP+CE592F1222-TOP</t>
        </is>
      </c>
      <c r="J6" s="35" t="n">
        <v>50</v>
      </c>
      <c r="K6" s="36" t="inlineStr">
        <is>
          <t>Ép chính (2 mã hàng)</t>
        </is>
      </c>
      <c r="L6" s="35" t="inlineStr">
        <is>
          <t>File Ép nóng</t>
        </is>
      </c>
    </row>
    <row r="7">
      <c r="A7" s="30" t="n">
        <v>46301</v>
      </c>
      <c r="B7" s="31" t="inlineStr">
        <is>
          <t>S32</t>
        </is>
      </c>
      <c r="C7" s="32" t="inlineStr">
        <is>
          <t>Không có bomtime chuyền UV</t>
        </is>
      </c>
      <c r="D7" s="31" t="inlineStr">
        <is>
          <t>RC - PANEL</t>
        </is>
      </c>
      <c r="E7" s="31" t="inlineStr">
        <is>
          <t>Finishing</t>
        </is>
      </c>
      <c r="F7" s="33" t="n">
        <v>0.3125</v>
      </c>
      <c r="G7" s="33" t="n">
        <v>0.6458333333333334</v>
      </c>
      <c r="H7" s="31" t="n">
        <v>11</v>
      </c>
      <c r="I7" s="34" t="n"/>
      <c r="J7" s="35" t="n"/>
      <c r="K7" s="36" t="inlineStr">
        <is>
          <t>HC làm việc (ca thường)</t>
        </is>
      </c>
      <c r="L7" s="35" t="inlineStr">
        <is>
          <t>File UV (báo cáo ngày)</t>
        </is>
      </c>
    </row>
    <row r="8">
      <c r="A8" s="30" t="n">
        <v>46301</v>
      </c>
      <c r="B8" s="31" t="inlineStr">
        <is>
          <t>S32</t>
        </is>
      </c>
      <c r="C8" s="32" t="inlineStr">
        <is>
          <t>Không có bomtime chuyền UV</t>
        </is>
      </c>
      <c r="D8" s="31" t="inlineStr">
        <is>
          <t>RC - PANEL</t>
        </is>
      </c>
      <c r="E8" s="31" t="inlineStr">
        <is>
          <t>Finishing</t>
        </is>
      </c>
      <c r="F8" s="33" t="n">
        <v>0.6458333333333334</v>
      </c>
      <c r="G8" s="33" t="n">
        <v>0.8125</v>
      </c>
      <c r="H8" s="31" t="n">
        <v>8</v>
      </c>
      <c r="I8" s="34" t="n"/>
      <c r="J8" s="35" t="n"/>
      <c r="K8" s="36" t="inlineStr">
        <is>
          <t>HC tăng ca (OT 4 giờ)</t>
        </is>
      </c>
      <c r="L8" s="35" t="inlineStr">
        <is>
          <t>File UV (báo cáo ngày)</t>
        </is>
      </c>
    </row>
    <row r="9">
      <c r="A9" s="30" t="n">
        <v>46302</v>
      </c>
      <c r="B9" s="31" t="inlineStr">
        <is>
          <t>S32</t>
        </is>
      </c>
      <c r="C9" s="32" t="inlineStr">
        <is>
          <t>Không có bomtime chuyền UV</t>
        </is>
      </c>
      <c r="D9" s="31" t="inlineStr">
        <is>
          <t>RC - PANEL</t>
        </is>
      </c>
      <c r="E9" s="31" t="inlineStr">
        <is>
          <t>Finishing</t>
        </is>
      </c>
      <c r="F9" s="33" t="n">
        <v>0.3125</v>
      </c>
      <c r="G9" s="33" t="n">
        <v>0.6458333333333334</v>
      </c>
      <c r="H9" s="31" t="n">
        <v>10</v>
      </c>
      <c r="I9" s="34" t="n"/>
      <c r="J9" s="35" t="n"/>
      <c r="K9" s="36" t="inlineStr">
        <is>
          <t>HC làm việc (ca thường)</t>
        </is>
      </c>
      <c r="L9" s="35" t="inlineStr">
        <is>
          <t>File UV (báo cáo ngày)</t>
        </is>
      </c>
    </row>
    <row r="10">
      <c r="A10" s="30" t="n">
        <v>46302</v>
      </c>
      <c r="B10" s="31" t="inlineStr">
        <is>
          <t>S32</t>
        </is>
      </c>
      <c r="C10" s="32" t="inlineStr">
        <is>
          <t>Không có bomtime chuyền UV</t>
        </is>
      </c>
      <c r="D10" s="31" t="inlineStr">
        <is>
          <t>RC - PANEL</t>
        </is>
      </c>
      <c r="E10" s="31" t="inlineStr">
        <is>
          <t>Finishing</t>
        </is>
      </c>
      <c r="F10" s="33" t="n">
        <v>0.6458333333333334</v>
      </c>
      <c r="G10" s="33" t="n">
        <v>0.8125</v>
      </c>
      <c r="H10" s="31" t="n">
        <v>8</v>
      </c>
      <c r="I10" s="34" t="n"/>
      <c r="J10" s="35" t="n"/>
      <c r="K10" s="36" t="inlineStr">
        <is>
          <t>HC tăng ca (OT 4 giờ)</t>
        </is>
      </c>
      <c r="L10" s="35" t="inlineStr">
        <is>
          <t>File UV (báo cáo ngày)</t>
        </is>
      </c>
    </row>
    <row r="11">
      <c r="A11" s="30" t="n">
        <v>46303</v>
      </c>
      <c r="B11" s="31" t="inlineStr">
        <is>
          <t>S32</t>
        </is>
      </c>
      <c r="C11" s="32" t="inlineStr">
        <is>
          <t>Không có bomtime chuyền UV</t>
        </is>
      </c>
      <c r="D11" s="31" t="inlineStr">
        <is>
          <t>RC - PANEL</t>
        </is>
      </c>
      <c r="E11" s="31" t="inlineStr">
        <is>
          <t>Finishing</t>
        </is>
      </c>
      <c r="F11" s="33" t="n">
        <v>0.3125</v>
      </c>
      <c r="G11" s="33" t="n">
        <v>0.6458333333333334</v>
      </c>
      <c r="H11" s="31" t="n">
        <v>10</v>
      </c>
      <c r="I11" s="34" t="n"/>
      <c r="J11" s="35" t="n"/>
      <c r="K11" s="36" t="inlineStr">
        <is>
          <t>HC làm việc (ca thường)</t>
        </is>
      </c>
      <c r="L11" s="35" t="inlineStr">
        <is>
          <t>File UV (báo cáo ngày)</t>
        </is>
      </c>
    </row>
    <row r="12">
      <c r="A12" s="30" t="n">
        <v>46303</v>
      </c>
      <c r="B12" s="31" t="inlineStr">
        <is>
          <t>S32</t>
        </is>
      </c>
      <c r="C12" s="32" t="inlineStr">
        <is>
          <t>Không có bomtime chuyền UV</t>
        </is>
      </c>
      <c r="D12" s="31" t="inlineStr">
        <is>
          <t>RC - PANEL</t>
        </is>
      </c>
      <c r="E12" s="31" t="inlineStr">
        <is>
          <t>Finishing</t>
        </is>
      </c>
      <c r="F12" s="33" t="n">
        <v>0.6458333333333334</v>
      </c>
      <c r="G12" s="33" t="n">
        <v>0.8125</v>
      </c>
      <c r="H12" s="31" t="n">
        <v>6</v>
      </c>
      <c r="I12" s="34" t="n"/>
      <c r="J12" s="35" t="n"/>
      <c r="K12" s="36" t="inlineStr">
        <is>
          <t>HC tăng ca (OT 4 giờ)</t>
        </is>
      </c>
      <c r="L12" s="35" t="inlineStr">
        <is>
          <t>File UV (báo cáo ngày)</t>
        </is>
      </c>
    </row>
    <row r="13">
      <c r="A13" s="30" t="n">
        <v>46303</v>
      </c>
      <c r="B13" s="31" t="inlineStr">
        <is>
          <t>S32</t>
        </is>
      </c>
      <c r="C13" s="32" t="inlineStr">
        <is>
          <t>Beam saw - phát sinh (chi tiết P08-1)</t>
        </is>
      </c>
      <c r="D13" s="31" t="inlineStr">
        <is>
          <t>RC - PANEL</t>
        </is>
      </c>
      <c r="E13" s="31" t="inlineStr">
        <is>
          <t>Machining</t>
        </is>
      </c>
      <c r="F13" s="33" t="n">
        <v>0.7916666666666666</v>
      </c>
      <c r="G13" s="33" t="n">
        <v>0.7930555555555555</v>
      </c>
      <c r="H13" s="31" t="n">
        <v>3</v>
      </c>
      <c r="I13" s="34" t="inlineStr">
        <is>
          <t>RH9949F425</t>
        </is>
      </c>
      <c r="J13" s="35" t="n">
        <v>1</v>
      </c>
      <c r="K13" s="36" t="inlineStr">
        <is>
          <t>STT 292</t>
        </is>
      </c>
      <c r="L13" s="35" t="inlineStr">
        <is>
          <t>File Beam saw</t>
        </is>
      </c>
    </row>
    <row r="14">
      <c r="A14" s="30" t="n">
        <v>46303</v>
      </c>
      <c r="B14" s="31" t="inlineStr">
        <is>
          <t>S32</t>
        </is>
      </c>
      <c r="C14" s="32" t="inlineStr">
        <is>
          <t>Beam saw - phát sinh (chi tiết P01-1)</t>
        </is>
      </c>
      <c r="D14" s="31" t="inlineStr">
        <is>
          <t>RC - PANEL</t>
        </is>
      </c>
      <c r="E14" s="31" t="inlineStr">
        <is>
          <t>Machining</t>
        </is>
      </c>
      <c r="F14" s="33" t="n">
        <v>0.7951388888888888</v>
      </c>
      <c r="G14" s="33" t="n">
        <v>0.7965277777777777</v>
      </c>
      <c r="H14" s="31" t="n">
        <v>3</v>
      </c>
      <c r="I14" s="34" t="inlineStr">
        <is>
          <t>RH9339F423</t>
        </is>
      </c>
      <c r="J14" s="35" t="n">
        <v>1</v>
      </c>
      <c r="K14" s="36" t="inlineStr">
        <is>
          <t>STT 293</t>
        </is>
      </c>
      <c r="L14" s="35" t="inlineStr">
        <is>
          <t>File Beam saw</t>
        </is>
      </c>
    </row>
    <row r="15">
      <c r="A15" s="30" t="n">
        <v>46304</v>
      </c>
      <c r="B15" s="31" t="inlineStr">
        <is>
          <t>S32</t>
        </is>
      </c>
      <c r="C15" s="32" t="inlineStr">
        <is>
          <t>Không có bomtime chuyền UV</t>
        </is>
      </c>
      <c r="D15" s="31" t="inlineStr">
        <is>
          <t>RC - PANEL</t>
        </is>
      </c>
      <c r="E15" s="31" t="inlineStr">
        <is>
          <t>Finishing</t>
        </is>
      </c>
      <c r="F15" s="33" t="n">
        <v>0.3125</v>
      </c>
      <c r="G15" s="33" t="n">
        <v>0.6458333333333334</v>
      </c>
      <c r="H15" s="31" t="n">
        <v>12</v>
      </c>
      <c r="I15" s="34" t="n"/>
      <c r="J15" s="35" t="n"/>
      <c r="K15" s="36" t="inlineStr">
        <is>
          <t>HC làm việc (ca thường)</t>
        </is>
      </c>
      <c r="L15" s="35" t="inlineStr">
        <is>
          <t>File UV (báo cáo ngày)</t>
        </is>
      </c>
    </row>
    <row r="16">
      <c r="A16" s="30" t="n">
        <v>46304</v>
      </c>
      <c r="B16" s="31" t="inlineStr">
        <is>
          <t>S32</t>
        </is>
      </c>
      <c r="C16" s="32" t="inlineStr">
        <is>
          <t>Không có bomtime chuyền UV</t>
        </is>
      </c>
      <c r="D16" s="31" t="inlineStr">
        <is>
          <t>RC - PANEL</t>
        </is>
      </c>
      <c r="E16" s="31" t="inlineStr">
        <is>
          <t>Finishing</t>
        </is>
      </c>
      <c r="F16" s="33" t="n">
        <v>0.6458333333333334</v>
      </c>
      <c r="G16" s="33" t="n">
        <v>0.8125</v>
      </c>
      <c r="H16" s="31" t="n">
        <v>9</v>
      </c>
      <c r="I16" s="34" t="n"/>
      <c r="J16" s="35" t="n"/>
      <c r="K16" s="36" t="inlineStr">
        <is>
          <t>HC tăng ca (OT 4 giờ)</t>
        </is>
      </c>
      <c r="L16" s="35" t="inlineStr">
        <is>
          <t>File UV (báo cáo ngày)</t>
        </is>
      </c>
    </row>
    <row r="17">
      <c r="A17" s="30" t="n">
        <v>46304</v>
      </c>
      <c r="B17" s="31" t="inlineStr">
        <is>
          <t>S32</t>
        </is>
      </c>
      <c r="C17" s="32" t="inlineStr">
        <is>
          <t>Beam saw - phát sinh (chi tiết A3-S01)</t>
        </is>
      </c>
      <c r="D17" s="31" t="inlineStr">
        <is>
          <t>RC - PANEL</t>
        </is>
      </c>
      <c r="E17" s="31" t="inlineStr">
        <is>
          <t>Machining</t>
        </is>
      </c>
      <c r="F17" s="33" t="n">
        <v>0.3333333333333333</v>
      </c>
      <c r="G17" s="33" t="n">
        <v>0.3347222222222222</v>
      </c>
      <c r="H17" s="31" t="n">
        <v>3</v>
      </c>
      <c r="I17" s="34" t="inlineStr">
        <is>
          <t>RH7340F383</t>
        </is>
      </c>
      <c r="J17" s="35" t="n">
        <v>1</v>
      </c>
      <c r="K17" s="36" t="inlineStr">
        <is>
          <t>STT 294</t>
        </is>
      </c>
      <c r="L17" s="35" t="inlineStr">
        <is>
          <t>File Beam saw</t>
        </is>
      </c>
    </row>
    <row r="18">
      <c r="A18" s="30" t="n">
        <v>46304</v>
      </c>
      <c r="B18" s="31" t="inlineStr">
        <is>
          <t>S32</t>
        </is>
      </c>
      <c r="C18" s="32" t="inlineStr">
        <is>
          <t>Beam saw - phát sinh (chi tiết P01)</t>
        </is>
      </c>
      <c r="D18" s="31" t="inlineStr">
        <is>
          <t>RC - PANEL</t>
        </is>
      </c>
      <c r="E18" s="31" t="inlineStr">
        <is>
          <t>Machining</t>
        </is>
      </c>
      <c r="F18" s="33" t="n">
        <v>0.3347222222222222</v>
      </c>
      <c r="G18" s="33" t="n">
        <v>0.3361111111111111</v>
      </c>
      <c r="H18" s="31" t="n">
        <v>3</v>
      </c>
      <c r="I18" s="34" t="inlineStr">
        <is>
          <t>RH7150F409</t>
        </is>
      </c>
      <c r="J18" s="35" t="n">
        <v>1</v>
      </c>
      <c r="K18" s="36" t="inlineStr">
        <is>
          <t>STT 295</t>
        </is>
      </c>
      <c r="L18" s="35" t="inlineStr">
        <is>
          <t>File Beam saw</t>
        </is>
      </c>
    </row>
    <row r="19">
      <c r="A19" s="30" t="n">
        <v>46304</v>
      </c>
      <c r="B19" s="31" t="inlineStr">
        <is>
          <t>S32</t>
        </is>
      </c>
      <c r="C19" s="32" t="inlineStr">
        <is>
          <t>Beam saw - phát sinh (chi tiết P12)</t>
        </is>
      </c>
      <c r="D19" s="31" t="inlineStr">
        <is>
          <t>RC - PANEL</t>
        </is>
      </c>
      <c r="E19" s="31" t="inlineStr">
        <is>
          <t>QC</t>
        </is>
      </c>
      <c r="F19" s="33" t="n">
        <v>0.3402777777777778</v>
      </c>
      <c r="G19" s="33" t="n">
        <v>0.3444444444444444</v>
      </c>
      <c r="H19" s="31" t="n">
        <v>3</v>
      </c>
      <c r="I19" s="34" t="inlineStr">
        <is>
          <t>AR1368F1330</t>
        </is>
      </c>
      <c r="J19" s="35" t="n">
        <v>4</v>
      </c>
      <c r="K19" s="36" t="inlineStr">
        <is>
          <t>Charge to: QA do không test lúc sample</t>
        </is>
      </c>
      <c r="L19" s="35" t="inlineStr">
        <is>
          <t>File Beam saw</t>
        </is>
      </c>
    </row>
    <row r="20">
      <c r="A20" s="30" t="n">
        <v>46304</v>
      </c>
      <c r="B20" s="31" t="inlineStr">
        <is>
          <t>S32</t>
        </is>
      </c>
      <c r="C20" s="32" t="inlineStr">
        <is>
          <t>Beam saw - phát sinh (chi tiết A1-S02)</t>
        </is>
      </c>
      <c r="D20" s="31" t="inlineStr">
        <is>
          <t>RC - PANEL</t>
        </is>
      </c>
      <c r="E20" s="31" t="inlineStr">
        <is>
          <t>Machining</t>
        </is>
      </c>
      <c r="F20" s="33" t="n">
        <v>0.75</v>
      </c>
      <c r="G20" s="33" t="n">
        <v>0.7513888888888889</v>
      </c>
      <c r="H20" s="31" t="n">
        <v>3</v>
      </c>
      <c r="I20" s="34" t="inlineStr">
        <is>
          <t>AR1001F1001</t>
        </is>
      </c>
      <c r="J20" s="35" t="n">
        <v>1</v>
      </c>
      <c r="K20" s="36" t="inlineStr">
        <is>
          <t>STT 297</t>
        </is>
      </c>
      <c r="L20" s="35" t="inlineStr">
        <is>
          <t>File Beam saw</t>
        </is>
      </c>
    </row>
    <row r="21">
      <c r="A21" s="30" t="n">
        <v>46305</v>
      </c>
      <c r="B21" s="31" t="inlineStr">
        <is>
          <t>S32</t>
        </is>
      </c>
      <c r="C21" s="32" t="inlineStr">
        <is>
          <t>Không có bomtime chuyền UV</t>
        </is>
      </c>
      <c r="D21" s="31" t="inlineStr">
        <is>
          <t>RC - PANEL</t>
        </is>
      </c>
      <c r="E21" s="31" t="inlineStr">
        <is>
          <t>Finishing</t>
        </is>
      </c>
      <c r="F21" s="33" t="n">
        <v>0.3125</v>
      </c>
      <c r="G21" s="33" t="n">
        <v>0.6458333333333334</v>
      </c>
      <c r="H21" s="31" t="n">
        <v>10</v>
      </c>
      <c r="I21" s="34" t="n"/>
      <c r="J21" s="35" t="n"/>
      <c r="K21" s="36" t="inlineStr">
        <is>
          <t>HC làm việc (ca thường)</t>
        </is>
      </c>
      <c r="L21" s="35" t="inlineStr">
        <is>
          <t>File UV (báo cáo ngày)</t>
        </is>
      </c>
    </row>
    <row r="22">
      <c r="A22" s="30" t="n">
        <v>46305</v>
      </c>
      <c r="B22" s="31" t="inlineStr">
        <is>
          <t>S32</t>
        </is>
      </c>
      <c r="C22" s="32" t="inlineStr">
        <is>
          <t>Không có bomtime chuyền UV</t>
        </is>
      </c>
      <c r="D22" s="31" t="inlineStr">
        <is>
          <t>RC - PANEL</t>
        </is>
      </c>
      <c r="E22" s="31" t="inlineStr">
        <is>
          <t>Finishing</t>
        </is>
      </c>
      <c r="F22" s="33" t="n">
        <v>0.6458333333333334</v>
      </c>
      <c r="G22" s="33" t="n">
        <v>0.8125</v>
      </c>
      <c r="H22" s="31" t="n">
        <v>9</v>
      </c>
      <c r="I22" s="34" t="n"/>
      <c r="J22" s="35" t="n"/>
      <c r="K22" s="36" t="inlineStr">
        <is>
          <t>HC tăng ca (OT 4 giờ)</t>
        </is>
      </c>
      <c r="L22" s="35" t="inlineStr">
        <is>
          <t>File UV (báo cáo ngày)</t>
        </is>
      </c>
    </row>
    <row r="23">
      <c r="A23" s="30" t="n">
        <v>46305</v>
      </c>
      <c r="B23" s="31" t="inlineStr">
        <is>
          <t>S32</t>
        </is>
      </c>
      <c r="C23" s="32" t="inlineStr">
        <is>
          <t>Làm mẫu (veneer)</t>
        </is>
      </c>
      <c r="D23" s="31" t="inlineStr">
        <is>
          <t>RC - PANEL</t>
        </is>
      </c>
      <c r="E23" s="31" t="inlineStr">
        <is>
          <t>TF</t>
        </is>
      </c>
      <c r="F23" s="33" t="n">
        <v>0.375</v>
      </c>
      <c r="G23" s="33" t="n">
        <v>0.4375</v>
      </c>
      <c r="H23" s="31" t="n">
        <v>2</v>
      </c>
      <c r="I23" s="34" t="inlineStr">
        <is>
          <t>code 516+code 231</t>
        </is>
      </c>
      <c r="J23" s="35" t="n">
        <v>150</v>
      </c>
      <c r="K23" s="36" t="inlineStr">
        <is>
          <t>2 mã (code 516, code 231), 1 ca</t>
        </is>
      </c>
      <c r="L23" s="35" t="inlineStr">
        <is>
          <t>File Veneer</t>
        </is>
      </c>
    </row>
    <row r="24">
      <c r="A24" s="37" t="n">
        <v>46306</v>
      </c>
      <c r="B24" s="38" t="inlineStr">
        <is>
          <t>S32</t>
        </is>
      </c>
      <c r="C24" s="39" t="inlineStr">
        <is>
          <t>Không có bomtime chuyền UV</t>
        </is>
      </c>
      <c r="D24" s="38" t="inlineStr">
        <is>
          <t>RC - PANEL</t>
        </is>
      </c>
      <c r="E24" s="38" t="inlineStr">
        <is>
          <t>Finishing</t>
        </is>
      </c>
      <c r="F24" s="40" t="n">
        <v>0.3125</v>
      </c>
      <c r="G24" s="40" t="n">
        <v>0.6458333333333334</v>
      </c>
      <c r="H24" s="38" t="n">
        <v>9</v>
      </c>
      <c r="I24" s="34" t="n"/>
      <c r="J24" s="35" t="n"/>
      <c r="K24" s="36" t="inlineStr">
        <is>
          <t>HC làm việc (ca thường)</t>
        </is>
      </c>
      <c r="L24" s="35" t="inlineStr">
        <is>
          <t>File UV (báo cáo ngày)</t>
        </is>
      </c>
    </row>
    <row r="25">
      <c r="A25" s="30" t="n">
        <v>46307</v>
      </c>
      <c r="B25" s="31" t="inlineStr">
        <is>
          <t>S32</t>
        </is>
      </c>
      <c r="C25" s="32" t="inlineStr">
        <is>
          <t>Phát sinh khu vực UV - SLAT (23 mã hàng)</t>
        </is>
      </c>
      <c r="D25" s="31" t="inlineStr">
        <is>
          <t>RC - PANEL</t>
        </is>
      </c>
      <c r="E25" s="31" t="inlineStr">
        <is>
          <t>QC</t>
        </is>
      </c>
      <c r="F25" s="33" t="n">
        <v>0.3125</v>
      </c>
      <c r="G25" s="33" t="n">
        <v>0.625</v>
      </c>
      <c r="H25" s="31" t="n">
        <v>1</v>
      </c>
      <c r="I25" s="34" t="n"/>
      <c r="J25" s="35" t="n"/>
      <c r="K25" s="36" t="inlineStr">
        <is>
          <t>Charge to: QC A HIẾU; mã hàng xem sheet Chi tiết</t>
        </is>
      </c>
      <c r="L25" s="35" t="inlineStr">
        <is>
          <t>File UV (phát sinh)</t>
        </is>
      </c>
    </row>
    <row r="26">
      <c r="A26" s="30" t="n">
        <v>46307</v>
      </c>
      <c r="B26" s="31" t="inlineStr">
        <is>
          <t>S32</t>
        </is>
      </c>
      <c r="C26" s="32" t="inlineStr">
        <is>
          <t>Phát sinh khu vực UV - SLAT (23 mã hàng)</t>
        </is>
      </c>
      <c r="D26" s="31" t="inlineStr">
        <is>
          <t>RC - PANEL</t>
        </is>
      </c>
      <c r="E26" s="31" t="inlineStr">
        <is>
          <t>QC</t>
        </is>
      </c>
      <c r="F26" s="33" t="n">
        <v>0.3958333333333333</v>
      </c>
      <c r="G26" s="33" t="n">
        <v>0.8333333333333334</v>
      </c>
      <c r="H26" s="31" t="n">
        <v>1</v>
      </c>
      <c r="I26" s="34" t="inlineStr">
        <is>
          <t>RH11-1119-0129-41797+RH11-1179-0129-40474+RH11-4136-0129-40505 (+20 mã)</t>
        </is>
      </c>
      <c r="J26" s="35" t="n">
        <v>2522</v>
      </c>
      <c r="K26" s="36" t="inlineStr">
        <is>
          <t>Charge to: QC A HIẾU; mã hàng xem sheet Chi tiết</t>
        </is>
      </c>
      <c r="L26" s="35" t="inlineStr">
        <is>
          <t>File UV (phát sinh)</t>
        </is>
      </c>
    </row>
    <row r="27">
      <c r="A27" s="30" t="n">
        <v>46307</v>
      </c>
      <c r="B27" s="31" t="inlineStr">
        <is>
          <t>S32</t>
        </is>
      </c>
      <c r="C27" s="32" t="inlineStr">
        <is>
          <t>Không có bomtime sơn lòng trong</t>
        </is>
      </c>
      <c r="D27" s="31" t="inlineStr">
        <is>
          <t>Assembly</t>
        </is>
      </c>
      <c r="E27" s="31" t="inlineStr">
        <is>
          <t>Finishing</t>
        </is>
      </c>
      <c r="F27" s="33" t="n">
        <v>0.3125</v>
      </c>
      <c r="G27" s="33" t="n">
        <v>0.8125</v>
      </c>
      <c r="H27" s="31" t="n">
        <v>12</v>
      </c>
      <c r="I27" s="34" t="n"/>
      <c r="J27" s="35" t="n"/>
      <c r="K27" s="36" t="inlineStr">
        <is>
          <t>Thợ sơn lòng trong tủ - hỗ trợ Fin</t>
        </is>
      </c>
      <c r="L27" s="35" t="inlineStr">
        <is>
          <t>Hình: thợ sơn</t>
        </is>
      </c>
    </row>
    <row r="28">
      <c r="A28" s="30" t="n">
        <v>46308</v>
      </c>
      <c r="B28" s="31" t="inlineStr">
        <is>
          <t>S32</t>
        </is>
      </c>
      <c r="C28" s="32" t="inlineStr">
        <is>
          <t>Phát sinh khu vực UV - Back Panel</t>
        </is>
      </c>
      <c r="D28" s="31" t="inlineStr">
        <is>
          <t>RC - PANEL</t>
        </is>
      </c>
      <c r="E28" s="31" t="inlineStr">
        <is>
          <t>TF</t>
        </is>
      </c>
      <c r="F28" s="33" t="n">
        <v>0.6458333333333334</v>
      </c>
      <c r="G28" s="33" t="n">
        <v>0.8333333333333334</v>
      </c>
      <c r="H28" s="31" t="n">
        <v>1</v>
      </c>
      <c r="I28" s="34" t="inlineStr">
        <is>
          <t>AR12-1137-1404-R0000</t>
        </is>
      </c>
      <c r="J28" s="35" t="n">
        <v>9</v>
      </c>
      <c r="K28" s="36" t="inlineStr">
        <is>
          <t>Charge to: TF</t>
        </is>
      </c>
      <c r="L28" s="35" t="inlineStr">
        <is>
          <t>File UV (phát sinh)</t>
        </is>
      </c>
    </row>
    <row r="29">
      <c r="A29" s="30" t="n">
        <v>46308</v>
      </c>
      <c r="B29" s="31" t="inlineStr">
        <is>
          <t>S32</t>
        </is>
      </c>
      <c r="C29" s="32" t="inlineStr">
        <is>
          <t>Không có bomtime sơn lòng trong</t>
        </is>
      </c>
      <c r="D29" s="31" t="inlineStr">
        <is>
          <t>Assembly</t>
        </is>
      </c>
      <c r="E29" s="31" t="inlineStr">
        <is>
          <t>Finishing</t>
        </is>
      </c>
      <c r="F29" s="33" t="n">
        <v>0.3125</v>
      </c>
      <c r="G29" s="33" t="n">
        <v>0.8125</v>
      </c>
      <c r="H29" s="31" t="n">
        <v>12</v>
      </c>
      <c r="I29" s="34" t="n"/>
      <c r="J29" s="35" t="n"/>
      <c r="K29" s="36" t="inlineStr">
        <is>
          <t>Thợ sơn lòng trong tủ - hỗ trợ Fin</t>
        </is>
      </c>
      <c r="L29" s="35" t="inlineStr">
        <is>
          <t>Hình: thợ sơn</t>
        </is>
      </c>
    </row>
    <row r="30">
      <c r="A30" s="30" t="n">
        <v>46309</v>
      </c>
      <c r="B30" s="31" t="inlineStr">
        <is>
          <t>S32</t>
        </is>
      </c>
      <c r="C30" s="32" t="inlineStr">
        <is>
          <t>Không có bomtime sơn lòng trong</t>
        </is>
      </c>
      <c r="D30" s="31" t="inlineStr">
        <is>
          <t>Assembly</t>
        </is>
      </c>
      <c r="E30" s="31" t="inlineStr">
        <is>
          <t>Finishing</t>
        </is>
      </c>
      <c r="F30" s="33" t="n">
        <v>0.3125</v>
      </c>
      <c r="G30" s="33" t="n">
        <v>0.8125</v>
      </c>
      <c r="H30" s="31" t="n">
        <v>12</v>
      </c>
      <c r="I30" s="34" t="n"/>
      <c r="J30" s="35" t="n"/>
      <c r="K30" s="36" t="inlineStr">
        <is>
          <t>Thợ sơn lòng trong tủ - hỗ trợ Fin</t>
        </is>
      </c>
      <c r="L30" s="35" t="inlineStr">
        <is>
          <t>Hình: thợ sơn</t>
        </is>
      </c>
    </row>
    <row r="31">
      <c r="A31" s="30" t="n">
        <v>46310</v>
      </c>
      <c r="B31" s="31" t="inlineStr">
        <is>
          <t>S32</t>
        </is>
      </c>
      <c r="C31" s="32" t="inlineStr">
        <is>
          <t>Làm mẫu (veneer)</t>
        </is>
      </c>
      <c r="D31" s="31" t="inlineStr">
        <is>
          <t>RC - PANEL</t>
        </is>
      </c>
      <c r="E31" s="31" t="inlineStr">
        <is>
          <t>ME</t>
        </is>
      </c>
      <c r="F31" s="33" t="n">
        <v>0.3333333333333333</v>
      </c>
      <c r="G31" s="33" t="n">
        <v>0.3472222222222222</v>
      </c>
      <c r="H31" s="31" t="n">
        <v>1</v>
      </c>
      <c r="I31" s="34" t="inlineStr">
        <is>
          <t>code 229</t>
        </is>
      </c>
      <c r="J31" s="35" t="n">
        <v>4</v>
      </c>
      <c r="K31" s="36" t="inlineStr">
        <is>
          <t>code 229</t>
        </is>
      </c>
      <c r="L31" s="35" t="inlineStr">
        <is>
          <t>File Veneer</t>
        </is>
      </c>
    </row>
    <row r="32">
      <c r="A32" s="30" t="n">
        <v>46310</v>
      </c>
      <c r="B32" s="31" t="inlineStr">
        <is>
          <t>S32</t>
        </is>
      </c>
      <c r="C32" s="32" t="inlineStr">
        <is>
          <t>Không có bomtime sơn lòng trong</t>
        </is>
      </c>
      <c r="D32" s="31" t="inlineStr">
        <is>
          <t>Assembly</t>
        </is>
      </c>
      <c r="E32" s="31" t="inlineStr">
        <is>
          <t>Finishing</t>
        </is>
      </c>
      <c r="F32" s="33" t="n">
        <v>0.3125</v>
      </c>
      <c r="G32" s="33" t="n">
        <v>0.8125</v>
      </c>
      <c r="H32" s="31" t="n">
        <v>12</v>
      </c>
      <c r="I32" s="34" t="n"/>
      <c r="J32" s="35" t="n"/>
      <c r="K32" s="36" t="inlineStr">
        <is>
          <t>Thợ sơn lòng trong tủ - hỗ trợ Fin</t>
        </is>
      </c>
      <c r="L32" s="35" t="inlineStr">
        <is>
          <t>Hình: thợ sơn</t>
        </is>
      </c>
    </row>
    <row r="33">
      <c r="A33" s="41" t="n">
        <v>46310</v>
      </c>
      <c r="B33" s="42" t="inlineStr">
        <is>
          <t>S32</t>
        </is>
      </c>
      <c r="C33" s="43" t="inlineStr">
        <is>
          <t>Bắn cát hỗ trợ Subcon Đại Xuyên (chân)</t>
        </is>
      </c>
      <c r="D33" s="42" t="inlineStr">
        <is>
          <t>Assembly</t>
        </is>
      </c>
      <c r="E33" s="42" t="inlineStr">
        <is>
          <t>Subcon</t>
        </is>
      </c>
      <c r="F33" s="44" t="n">
        <v>0.2916666666666667</v>
      </c>
      <c r="G33" s="44" t="n">
        <v>0.625</v>
      </c>
      <c r="H33" s="42" t="n">
        <v>4</v>
      </c>
      <c r="I33" s="34" t="inlineStr">
        <is>
          <t>RH2252</t>
        </is>
      </c>
      <c r="J33" s="35" t="n">
        <v>734</v>
      </c>
      <c r="K33" s="36" t="inlineStr">
        <is>
          <t>Line bắn cát - hỗ trợ Supcon Đại Xuyên</t>
        </is>
      </c>
      <c r="L33" s="35" t="inlineStr">
        <is>
          <t>Hình: bắn cát</t>
        </is>
      </c>
    </row>
    <row r="34">
      <c r="A34" s="37" t="n">
        <v>46311</v>
      </c>
      <c r="B34" s="38" t="inlineStr">
        <is>
          <t>S32</t>
        </is>
      </c>
      <c r="C34" s="39" t="inlineStr">
        <is>
          <t>Beam saw - phát sinh (chi tiết P10)</t>
        </is>
      </c>
      <c r="D34" s="38" t="inlineStr">
        <is>
          <t>RC - PANEL</t>
        </is>
      </c>
      <c r="E34" s="38" t="inlineStr">
        <is>
          <t>(chưa phân công)</t>
        </is>
      </c>
      <c r="F34" s="40" t="n">
        <v>0.3333333333333333</v>
      </c>
      <c r="G34" s="40" t="n">
        <v>0.3368055555555556</v>
      </c>
      <c r="H34" s="38" t="n">
        <v>3</v>
      </c>
      <c r="I34" s="34" t="inlineStr">
        <is>
          <t>CZ065F08</t>
        </is>
      </c>
      <c r="J34" s="35" t="n">
        <v>14</v>
      </c>
      <c r="K34" s="36" t="inlineStr">
        <is>
          <t>Charge to: Unassigned</t>
        </is>
      </c>
      <c r="L34" s="35" t="inlineStr">
        <is>
          <t>File Beam saw</t>
        </is>
      </c>
    </row>
    <row r="35">
      <c r="A35" s="37" t="n">
        <v>46311</v>
      </c>
      <c r="B35" s="38" t="inlineStr">
        <is>
          <t>S32</t>
        </is>
      </c>
      <c r="C35" s="39" t="inlineStr">
        <is>
          <t>Beam saw - phát sinh (chi tiết P10)</t>
        </is>
      </c>
      <c r="D35" s="38" t="inlineStr">
        <is>
          <t>RC - PANEL</t>
        </is>
      </c>
      <c r="E35" s="38" t="inlineStr">
        <is>
          <t>(chưa phân công)</t>
        </is>
      </c>
      <c r="F35" s="40" t="n">
        <v>0.3368055555555556</v>
      </c>
      <c r="G35" s="40" t="n">
        <v>0.34375</v>
      </c>
      <c r="H35" s="38" t="n">
        <v>3</v>
      </c>
      <c r="I35" s="34" t="inlineStr">
        <is>
          <t>CZ065F09</t>
        </is>
      </c>
      <c r="J35" s="35" t="n">
        <v>30</v>
      </c>
      <c r="K35" s="36" t="inlineStr">
        <is>
          <t>Charge to: Unassigned</t>
        </is>
      </c>
      <c r="L35" s="35" t="inlineStr">
        <is>
          <t>File Beam saw</t>
        </is>
      </c>
    </row>
    <row r="36">
      <c r="A36" s="30" t="n">
        <v>46311</v>
      </c>
      <c r="B36" s="31" t="inlineStr">
        <is>
          <t>S32</t>
        </is>
      </c>
      <c r="C36" s="32" t="inlineStr">
        <is>
          <t>Không có bomtime sơn lòng trong</t>
        </is>
      </c>
      <c r="D36" s="31" t="inlineStr">
        <is>
          <t>Assembly</t>
        </is>
      </c>
      <c r="E36" s="31" t="inlineStr">
        <is>
          <t>Finishing</t>
        </is>
      </c>
      <c r="F36" s="33" t="n">
        <v>0.3125</v>
      </c>
      <c r="G36" s="33" t="n">
        <v>0.8125</v>
      </c>
      <c r="H36" s="31" t="n">
        <v>12</v>
      </c>
      <c r="I36" s="34" t="n"/>
      <c r="J36" s="35" t="n"/>
      <c r="K36" s="36" t="inlineStr">
        <is>
          <t>Thợ sơn lòng trong tủ - hỗ trợ Fin</t>
        </is>
      </c>
      <c r="L36" s="35" t="inlineStr">
        <is>
          <t>Hình: thợ sơn</t>
        </is>
      </c>
    </row>
    <row r="37">
      <c r="A37" s="30" t="n">
        <v>46311</v>
      </c>
      <c r="B37" s="31" t="inlineStr">
        <is>
          <t>S32</t>
        </is>
      </c>
      <c r="C37" s="32" t="inlineStr">
        <is>
          <t>Cào cước hỗ trợ MAC</t>
        </is>
      </c>
      <c r="D37" s="31" t="inlineStr">
        <is>
          <t>Assembly</t>
        </is>
      </c>
      <c r="E37" s="31" t="inlineStr">
        <is>
          <t>Machining</t>
        </is>
      </c>
      <c r="F37" s="33" t="n">
        <v>0.3333333333333333</v>
      </c>
      <c r="G37" s="33" t="n">
        <v>0.5</v>
      </c>
      <c r="H37" s="31" t="n">
        <v>1</v>
      </c>
      <c r="I37" s="34" t="inlineStr">
        <is>
          <t>RH5061</t>
        </is>
      </c>
      <c r="J37" s="35" t="n"/>
      <c r="K37" s="36" t="inlineStr">
        <is>
          <t>Line 7 - hỗ trợ MAC</t>
        </is>
      </c>
      <c r="L37" s="35" t="inlineStr">
        <is>
          <t>Hình: cào cước</t>
        </is>
      </c>
    </row>
    <row r="38">
      <c r="A38" s="41" t="n">
        <v>46311</v>
      </c>
      <c r="B38" s="42" t="inlineStr">
        <is>
          <t>S32</t>
        </is>
      </c>
      <c r="C38" s="43" t="inlineStr">
        <is>
          <t>Cào cước hỗ trợ MAC</t>
        </is>
      </c>
      <c r="D38" s="42" t="inlineStr">
        <is>
          <t>Assembly</t>
        </is>
      </c>
      <c r="E38" s="42" t="inlineStr">
        <is>
          <t>Machining</t>
        </is>
      </c>
      <c r="F38" s="44" t="n">
        <v>0.625</v>
      </c>
      <c r="G38" s="44" t="n">
        <v>0.8333333333333334</v>
      </c>
      <c r="H38" s="42" t="n">
        <v>1</v>
      </c>
      <c r="I38" s="34" t="inlineStr">
        <is>
          <t>RH893</t>
        </is>
      </c>
      <c r="J38" s="35" t="n"/>
      <c r="K38" s="36" t="inlineStr">
        <is>
          <t>Line 8 - hỗ trợ MAC</t>
        </is>
      </c>
      <c r="L38" s="35" t="inlineStr">
        <is>
          <t>Hình: cào cước</t>
        </is>
      </c>
    </row>
    <row r="39">
      <c r="A39" s="30" t="n">
        <v>46312</v>
      </c>
      <c r="B39" s="31" t="inlineStr">
        <is>
          <t>S32</t>
        </is>
      </c>
      <c r="C39" s="32" t="inlineStr">
        <is>
          <t>Beam saw - phát sinh (chi tiết A1-S02)</t>
        </is>
      </c>
      <c r="D39" s="31" t="inlineStr">
        <is>
          <t>RC - PANEL</t>
        </is>
      </c>
      <c r="E39" s="31" t="inlineStr">
        <is>
          <t>Machining</t>
        </is>
      </c>
      <c r="F39" s="33" t="n">
        <v>0.5416666666666666</v>
      </c>
      <c r="G39" s="33" t="n">
        <v>0.5444444444444444</v>
      </c>
      <c r="H39" s="31" t="n">
        <v>3</v>
      </c>
      <c r="I39" s="34" t="inlineStr">
        <is>
          <t>SH20-1029-1471-41191</t>
        </is>
      </c>
      <c r="J39" s="35" t="n">
        <v>4</v>
      </c>
      <c r="K39" s="36" t="inlineStr">
        <is>
          <t>STT 300</t>
        </is>
      </c>
      <c r="L39" s="35" t="inlineStr">
        <is>
          <t>File Beam saw</t>
        </is>
      </c>
    </row>
    <row r="40">
      <c r="A40" s="41" t="n">
        <v>46312</v>
      </c>
      <c r="B40" s="42" t="inlineStr">
        <is>
          <t>S32</t>
        </is>
      </c>
      <c r="C40" s="43" t="inlineStr">
        <is>
          <t>Không có bomtime sơn lòng trong</t>
        </is>
      </c>
      <c r="D40" s="42" t="inlineStr">
        <is>
          <t>Assembly</t>
        </is>
      </c>
      <c r="E40" s="42" t="inlineStr">
        <is>
          <t>Finishing</t>
        </is>
      </c>
      <c r="F40" s="44" t="n">
        <v>0.3125</v>
      </c>
      <c r="G40" s="44" t="n">
        <v>0.6458333333333334</v>
      </c>
      <c r="H40" s="42" t="n">
        <v>12</v>
      </c>
      <c r="I40" s="34" t="n"/>
      <c r="J40" s="35" t="n"/>
      <c r="K40" s="36" t="inlineStr">
        <is>
          <t>Thợ sơn lòng trong tủ - hỗ trợ Fin (thứ Bảy)</t>
        </is>
      </c>
      <c r="L40" s="35" t="inlineStr">
        <is>
          <t>Hình: thợ sơn</t>
        </is>
      </c>
    </row>
    <row r="41">
      <c r="A41" s="30" t="n">
        <v>46314</v>
      </c>
      <c r="B41" s="31" t="inlineStr">
        <is>
          <t>S32</t>
        </is>
      </c>
      <c r="C41" s="32" t="inlineStr">
        <is>
          <t>Beam saw - phát sinh (chi tiết A05-S01-1)</t>
        </is>
      </c>
      <c r="D41" s="31" t="inlineStr">
        <is>
          <t>RC - PANEL</t>
        </is>
      </c>
      <c r="E41" s="31" t="inlineStr">
        <is>
          <t>Machining</t>
        </is>
      </c>
      <c r="F41" s="33" t="n">
        <v>0.75</v>
      </c>
      <c r="G41" s="33" t="n">
        <v>0.7513888888888889</v>
      </c>
      <c r="H41" s="31" t="n">
        <v>3</v>
      </c>
      <c r="I41" s="34" t="inlineStr">
        <is>
          <t>AR1113F1330</t>
        </is>
      </c>
      <c r="J41" s="35" t="n">
        <v>1</v>
      </c>
      <c r="K41" s="36" t="inlineStr">
        <is>
          <t>STT 301</t>
        </is>
      </c>
      <c r="L41" s="35" t="inlineStr">
        <is>
          <t>File Beam saw</t>
        </is>
      </c>
    </row>
    <row r="42">
      <c r="A42" s="30" t="n">
        <v>46314</v>
      </c>
      <c r="B42" s="31" t="inlineStr">
        <is>
          <t>S32</t>
        </is>
      </c>
      <c r="C42" s="32" t="inlineStr">
        <is>
          <t>Beam saw - phát sinh (chi tiết A05-S01-2)</t>
        </is>
      </c>
      <c r="D42" s="31" t="inlineStr">
        <is>
          <t>RC - PANEL</t>
        </is>
      </c>
      <c r="E42" s="31" t="inlineStr">
        <is>
          <t>Machining</t>
        </is>
      </c>
      <c r="F42" s="33" t="n">
        <v>0.7513888888888889</v>
      </c>
      <c r="G42" s="33" t="n">
        <v>0.7527777777777778</v>
      </c>
      <c r="H42" s="31" t="n">
        <v>3</v>
      </c>
      <c r="I42" s="34" t="inlineStr">
        <is>
          <t>AR1113F1330</t>
        </is>
      </c>
      <c r="J42" s="35" t="n">
        <v>1</v>
      </c>
      <c r="K42" s="36" t="inlineStr">
        <is>
          <t>STT 302</t>
        </is>
      </c>
      <c r="L42" s="35" t="inlineStr">
        <is>
          <t>File Beam saw</t>
        </is>
      </c>
    </row>
    <row r="43">
      <c r="A43" s="30" t="n">
        <v>46314</v>
      </c>
      <c r="B43" s="31" t="inlineStr">
        <is>
          <t>S32</t>
        </is>
      </c>
      <c r="C43" s="32" t="inlineStr">
        <is>
          <t>Beam saw - phát sinh (chi tiết A1-S02)</t>
        </is>
      </c>
      <c r="D43" s="31" t="inlineStr">
        <is>
          <t>RC - PANEL</t>
        </is>
      </c>
      <c r="E43" s="31" t="inlineStr">
        <is>
          <t>Machining</t>
        </is>
      </c>
      <c r="F43" s="33" t="n">
        <v>0.7527777777777778</v>
      </c>
      <c r="G43" s="33" t="n">
        <v>0.7548611111111111</v>
      </c>
      <c r="H43" s="31" t="n">
        <v>3</v>
      </c>
      <c r="I43" s="34" t="inlineStr">
        <is>
          <t>SH20-1029-1471-41191</t>
        </is>
      </c>
      <c r="J43" s="35" t="n">
        <v>3</v>
      </c>
      <c r="K43" s="36" t="inlineStr">
        <is>
          <t>STT 303</t>
        </is>
      </c>
      <c r="L43" s="35" t="inlineStr">
        <is>
          <t>File Beam saw</t>
        </is>
      </c>
    </row>
    <row r="45">
      <c r="A45" s="20" t="inlineStr">
        <is>
          <t>Đổi Loss Date theo cột A khi nhập. Cột 2 đến 8 là các ô cần nhập (From/To bạn tự nhập). Các cột xám chỉ để tham khảo.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4" customWidth="1" min="3" max="3"/>
    <col width="14" customWidth="1" min="4" max="4"/>
    <col width="12" customWidth="1" min="5" max="5"/>
  </cols>
  <sheetData>
    <row r="1">
      <c r="A1" s="21" t="inlineStr">
        <is>
          <t>ĐỐI CHIẾU GIỜ CÔNG VỚI SỐ GIỜ TRONG FILE/HÌNH NGUỒN</t>
        </is>
      </c>
    </row>
    <row r="3" ht="36" customHeight="1">
      <c r="A3" s="2" t="inlineStr">
        <is>
          <t>Nguồn</t>
        </is>
      </c>
      <c r="B3" s="2" t="inlineStr">
        <is>
          <t>Số giờ trong file/hình nguồn</t>
        </is>
      </c>
      <c r="C3" s="2" t="inlineStr">
        <is>
          <t>Giờ công trong bảng S32</t>
        </is>
      </c>
      <c r="D3" s="2" t="inlineStr">
        <is>
          <t>Chênh lệch</t>
        </is>
      </c>
      <c r="E3" s="2" t="inlineStr">
        <is>
          <t>Kết quả</t>
        </is>
      </c>
    </row>
    <row r="4">
      <c r="A4" s="45" t="inlineStr">
        <is>
          <t>File Beam saw</t>
        </is>
      </c>
      <c r="B4" s="46" t="n">
        <v>2.1</v>
      </c>
      <c r="C4" s="47">
        <f>SUMIFS('S32 5-10 đến 19-10'!$Q$3:$Q$44,'S32 5-10 đến 19-10'!$R$3:$R$44,A4)</f>
        <v/>
      </c>
      <c r="D4" s="47">
        <f>C4-B4</f>
        <v/>
      </c>
      <c r="E4" s="23">
        <f>IF(ABS(D4)&lt;0.01,"Khớp","Lệch")</f>
        <v/>
      </c>
    </row>
    <row r="5">
      <c r="A5" s="45" t="inlineStr">
        <is>
          <t>File UV (báo cáo ngày)</t>
        </is>
      </c>
      <c r="B5" s="46" t="n">
        <v>776</v>
      </c>
      <c r="C5" s="47">
        <f>SUMIFS('S32 5-10 đến 19-10'!$Q$3:$Q$44,'S32 5-10 đến 19-10'!$R$3:$R$44,A5)</f>
        <v/>
      </c>
      <c r="D5" s="47">
        <f>C5-B5</f>
        <v/>
      </c>
      <c r="E5" s="23">
        <f>IF(ABS(D5)&lt;0.01,"Khớp","Lệch")</f>
        <v/>
      </c>
    </row>
    <row r="6">
      <c r="A6" s="45" t="inlineStr">
        <is>
          <t>File UV (phát sinh)</t>
        </is>
      </c>
      <c r="B6" s="46" t="n">
        <v>22.5</v>
      </c>
      <c r="C6" s="47">
        <f>SUMIFS('S32 5-10 đến 19-10'!$Q$3:$Q$44,'S32 5-10 đến 19-10'!$R$3:$R$44,A6)</f>
        <v/>
      </c>
      <c r="D6" s="47">
        <f>C6-B6</f>
        <v/>
      </c>
      <c r="E6" s="23">
        <f>IF(ABS(D6)&lt;0.01,"Khớp","Lệch")</f>
        <v/>
      </c>
    </row>
    <row r="7">
      <c r="A7" s="45" t="inlineStr">
        <is>
          <t>File Ép nóng</t>
        </is>
      </c>
      <c r="B7" s="46" t="n">
        <v>101</v>
      </c>
      <c r="C7" s="47">
        <f>SUMIFS('S32 5-10 đến 19-10'!$Q$3:$Q$44,'S32 5-10 đến 19-10'!$R$3:$R$44,A7)</f>
        <v/>
      </c>
      <c r="D7" s="47">
        <f>C7-B7</f>
        <v/>
      </c>
      <c r="E7" s="23">
        <f>IF(ABS(D7)&lt;0.01,"Khớp","Lệch")</f>
        <v/>
      </c>
    </row>
    <row r="8">
      <c r="A8" s="45" t="inlineStr">
        <is>
          <t>File Veneer</t>
        </is>
      </c>
      <c r="B8" s="46" t="n">
        <v>3.3333</v>
      </c>
      <c r="C8" s="47">
        <f>SUMIFS('S32 5-10 đến 19-10'!$Q$3:$Q$44,'S32 5-10 đến 19-10'!$R$3:$R$44,A8)</f>
        <v/>
      </c>
      <c r="D8" s="47">
        <f>C8-B8</f>
        <v/>
      </c>
      <c r="E8" s="23">
        <f>IF(ABS(D8)&lt;0.01,"Khớp","Lệch")</f>
        <v/>
      </c>
    </row>
    <row r="9">
      <c r="A9" s="45" t="inlineStr">
        <is>
          <t>Hình: thợ sơn</t>
        </is>
      </c>
      <c r="B9" s="46" t="n">
        <v>816</v>
      </c>
      <c r="C9" s="47">
        <f>SUMIFS('S32 5-10 đến 19-10'!$Q$3:$Q$44,'S32 5-10 đến 19-10'!$R$3:$R$44,A9)</f>
        <v/>
      </c>
      <c r="D9" s="47">
        <f>C9-B9</f>
        <v/>
      </c>
      <c r="E9" s="23">
        <f>IF(ABS(D9)&lt;0.01,"Khớp","Lệch")</f>
        <v/>
      </c>
    </row>
    <row r="10">
      <c r="A10" s="45" t="inlineStr">
        <is>
          <t>Hình: cào cước</t>
        </is>
      </c>
      <c r="B10" s="46" t="n">
        <v>9</v>
      </c>
      <c r="C10" s="47">
        <f>SUMIFS('S32 5-10 đến 19-10'!$Q$3:$Q$44,'S32 5-10 đến 19-10'!$R$3:$R$44,A10)</f>
        <v/>
      </c>
      <c r="D10" s="47">
        <f>C10-B10</f>
        <v/>
      </c>
      <c r="E10" s="23">
        <f>IF(ABS(D10)&lt;0.01,"Khớp","Lệch")</f>
        <v/>
      </c>
    </row>
    <row r="11">
      <c r="A11" s="45" t="inlineStr">
        <is>
          <t>Hình: bắn cát</t>
        </is>
      </c>
      <c r="B11" s="46" t="n">
        <v>32</v>
      </c>
      <c r="C11" s="47">
        <f>SUMIFS('S32 5-10 đến 19-10'!$Q$3:$Q$44,'S32 5-10 đến 19-10'!$R$3:$R$44,A11)</f>
        <v/>
      </c>
      <c r="D11" s="47">
        <f>C11-B11</f>
        <v/>
      </c>
      <c r="E11" s="23">
        <f>IF(ABS(D11)&lt;0.01,"Khớp","Lệch")</f>
        <v/>
      </c>
    </row>
    <row r="12">
      <c r="A12" s="48" t="inlineStr">
        <is>
          <t>Tổng</t>
        </is>
      </c>
      <c r="B12" s="49">
        <f>SUM(B4:B11)</f>
        <v/>
      </c>
      <c r="C12" s="49">
        <f>SUM(C4:C11)</f>
        <v/>
      </c>
      <c r="D12" s="49">
        <f>SUM(D4:D11)</f>
        <v/>
      </c>
      <c r="E12" s="26">
        <f>IF(ABS(D12)&lt;0.01,"Khớp","Lệch")</f>
        <v/>
      </c>
    </row>
    <row r="14">
      <c r="A14" s="20" t="inlineStr">
        <is>
          <t>Chữ xanh = số lấy từ file/hình nguồn (cột "SỐ GIỜ" hoặc tổng tuần trong báo cáo). Chỉ lấy các dòng từ 05/10/2026 trở đi.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16" customWidth="1" min="4" max="4"/>
    <col width="10" customWidth="1" min="5" max="5"/>
  </cols>
  <sheetData>
    <row r="1">
      <c r="A1" s="2" t="inlineStr">
        <is>
          <t>Ngày</t>
        </is>
      </c>
      <c r="B1" s="2" t="inlineStr">
        <is>
          <t>Nguồn</t>
        </is>
      </c>
      <c r="C1" s="2" t="inlineStr">
        <is>
          <t>Mã hàng / code</t>
        </is>
      </c>
      <c r="D1" s="2" t="inlineStr">
        <is>
          <t>Tên chi tiết</t>
        </is>
      </c>
      <c r="E1" s="2" t="inlineStr">
        <is>
          <t>Số lượng</t>
        </is>
      </c>
    </row>
    <row r="2">
      <c r="A2" s="50" t="n">
        <v>46300</v>
      </c>
      <c r="B2" s="27" t="inlineStr">
        <is>
          <t>File Ép nóng</t>
        </is>
      </c>
      <c r="C2" s="27" t="inlineStr">
        <is>
          <t>CZ842F188</t>
        </is>
      </c>
      <c r="D2" s="27" t="inlineStr">
        <is>
          <t>A1-S04</t>
        </is>
      </c>
      <c r="E2" s="27" t="n">
        <v>10</v>
      </c>
    </row>
    <row r="3">
      <c r="A3" s="50" t="n">
        <v>46300</v>
      </c>
      <c r="B3" s="27" t="inlineStr">
        <is>
          <t>File Ép nóng</t>
        </is>
      </c>
      <c r="C3" s="27" t="inlineStr">
        <is>
          <t>CZ842F381</t>
        </is>
      </c>
      <c r="D3" s="27" t="inlineStr">
        <is>
          <t>A1-S04</t>
        </is>
      </c>
      <c r="E3" s="27" t="n">
        <v>5</v>
      </c>
    </row>
    <row r="4">
      <c r="A4" s="50" t="n">
        <v>46300</v>
      </c>
      <c r="B4" s="27" t="inlineStr">
        <is>
          <t>File Ép nóng</t>
        </is>
      </c>
      <c r="C4" s="27" t="inlineStr">
        <is>
          <t>CZ842F409</t>
        </is>
      </c>
      <c r="D4" s="27" t="inlineStr">
        <is>
          <t>A1-S04</t>
        </is>
      </c>
      <c r="E4" s="27" t="n">
        <v>10</v>
      </c>
    </row>
    <row r="5">
      <c r="A5" s="50" t="n">
        <v>46300</v>
      </c>
      <c r="B5" s="27" t="inlineStr">
        <is>
          <t>File Ép nóng</t>
        </is>
      </c>
      <c r="C5" s="27" t="inlineStr">
        <is>
          <t>CE517F992-TOP</t>
        </is>
      </c>
      <c r="D5" s="27" t="inlineStr">
        <is>
          <t>A1-S01</t>
        </is>
      </c>
      <c r="E5" s="27" t="n">
        <v>27</v>
      </c>
    </row>
    <row r="6">
      <c r="A6" s="50" t="n">
        <v>46300</v>
      </c>
      <c r="B6" s="27" t="inlineStr">
        <is>
          <t>File Ép nóng</t>
        </is>
      </c>
      <c r="C6" s="27" t="inlineStr">
        <is>
          <t>CE592F1222-TOP</t>
        </is>
      </c>
      <c r="D6" s="27" t="inlineStr">
        <is>
          <t>A1-S01-1</t>
        </is>
      </c>
      <c r="E6" s="27" t="n">
        <v>23</v>
      </c>
    </row>
    <row r="7">
      <c r="A7" s="50" t="n">
        <v>46301</v>
      </c>
      <c r="B7" s="27" t="inlineStr">
        <is>
          <t>File Ép nóng</t>
        </is>
      </c>
      <c r="C7" s="27" t="inlineStr">
        <is>
          <t>CE517F992-TOP</t>
        </is>
      </c>
      <c r="D7" s="27" t="inlineStr">
        <is>
          <t>A1-S01</t>
        </is>
      </c>
      <c r="E7" s="27" t="n">
        <v>27</v>
      </c>
    </row>
    <row r="8">
      <c r="A8" s="50" t="n">
        <v>46301</v>
      </c>
      <c r="B8" s="27" t="inlineStr">
        <is>
          <t>File Ép nóng</t>
        </is>
      </c>
      <c r="C8" s="27" t="inlineStr">
        <is>
          <t>CE592F1222-TOP</t>
        </is>
      </c>
      <c r="D8" s="27" t="inlineStr">
        <is>
          <t>A1-S01-1</t>
        </is>
      </c>
      <c r="E8" s="27" t="n">
        <v>23</v>
      </c>
    </row>
    <row r="9">
      <c r="A9" s="50" t="n">
        <v>46305</v>
      </c>
      <c r="B9" s="27" t="inlineStr">
        <is>
          <t>File Veneer</t>
        </is>
      </c>
      <c r="C9" s="27" t="inlineStr">
        <is>
          <t>code 516</t>
        </is>
      </c>
      <c r="D9" s="27" t="inlineStr">
        <is>
          <t>320x620</t>
        </is>
      </c>
      <c r="E9" s="27" t="n">
        <v>50</v>
      </c>
    </row>
    <row r="10">
      <c r="A10" s="50" t="n">
        <v>46305</v>
      </c>
      <c r="B10" s="27" t="inlineStr">
        <is>
          <t>File Veneer</t>
        </is>
      </c>
      <c r="C10" s="27" t="inlineStr">
        <is>
          <t>code 231</t>
        </is>
      </c>
      <c r="D10" s="27" t="inlineStr">
        <is>
          <t>320x620</t>
        </is>
      </c>
      <c r="E10" s="27" t="n">
        <v>100</v>
      </c>
    </row>
    <row r="11">
      <c r="A11" s="50" t="n">
        <v>46307</v>
      </c>
      <c r="B11" s="27" t="inlineStr">
        <is>
          <t>File UV (phát sinh)</t>
        </is>
      </c>
      <c r="C11" s="27" t="inlineStr">
        <is>
          <t>RH11-1119-0129-41797</t>
        </is>
      </c>
      <c r="D11" s="27" t="inlineStr">
        <is>
          <t>SLAT</t>
        </is>
      </c>
      <c r="E11" s="27" t="n">
        <v>13</v>
      </c>
    </row>
    <row r="12">
      <c r="A12" s="50" t="n">
        <v>46307</v>
      </c>
      <c r="B12" s="27" t="inlineStr">
        <is>
          <t>File UV (phát sinh)</t>
        </is>
      </c>
      <c r="C12" s="27" t="inlineStr">
        <is>
          <t>RH11-1179-0129-40474</t>
        </is>
      </c>
      <c r="D12" s="27" t="inlineStr">
        <is>
          <t>SLAT</t>
        </is>
      </c>
      <c r="E12" s="27" t="n">
        <v>13</v>
      </c>
    </row>
    <row r="13">
      <c r="A13" s="50" t="n">
        <v>46307</v>
      </c>
      <c r="B13" s="27" t="inlineStr">
        <is>
          <t>File UV (phát sinh)</t>
        </is>
      </c>
      <c r="C13" s="27" t="inlineStr">
        <is>
          <t>RH11-4136-0129-40505</t>
        </is>
      </c>
      <c r="D13" s="27" t="inlineStr">
        <is>
          <t>SLAT</t>
        </is>
      </c>
      <c r="E13" s="27" t="n">
        <v>13</v>
      </c>
    </row>
    <row r="14">
      <c r="A14" s="50" t="n">
        <v>46307</v>
      </c>
      <c r="B14" s="27" t="inlineStr">
        <is>
          <t>File UV (phát sinh)</t>
        </is>
      </c>
      <c r="C14" s="27" t="inlineStr">
        <is>
          <t>RH11-1321-0129-41782</t>
        </is>
      </c>
      <c r="D14" s="27" t="inlineStr">
        <is>
          <t>SLAT</t>
        </is>
      </c>
      <c r="E14" s="27" t="n">
        <v>13</v>
      </c>
    </row>
    <row r="15">
      <c r="A15" s="50" t="n">
        <v>46307</v>
      </c>
      <c r="B15" s="27" t="inlineStr">
        <is>
          <t>File UV (phát sinh)</t>
        </is>
      </c>
      <c r="C15" s="27" t="inlineStr">
        <is>
          <t>RH11-1343-0129-41914</t>
        </is>
      </c>
      <c r="D15" s="27" t="inlineStr">
        <is>
          <t>SLAT</t>
        </is>
      </c>
      <c r="E15" s="27" t="n">
        <v>13</v>
      </c>
    </row>
    <row r="16">
      <c r="A16" s="50" t="n">
        <v>46307</v>
      </c>
      <c r="B16" s="27" t="inlineStr">
        <is>
          <t>File UV (phát sinh)</t>
        </is>
      </c>
      <c r="C16" s="27" t="inlineStr">
        <is>
          <t>RH11-1210-0129-40709</t>
        </is>
      </c>
      <c r="D16" s="27" t="inlineStr">
        <is>
          <t>SLAT</t>
        </is>
      </c>
      <c r="E16" s="27" t="n">
        <v>13</v>
      </c>
    </row>
    <row r="17">
      <c r="A17" s="50" t="n">
        <v>46307</v>
      </c>
      <c r="B17" s="27" t="inlineStr">
        <is>
          <t>File UV (phát sinh)</t>
        </is>
      </c>
      <c r="C17" s="27" t="inlineStr">
        <is>
          <t>RH11-2367-0129-40575</t>
        </is>
      </c>
      <c r="D17" s="27" t="inlineStr">
        <is>
          <t>SLAT</t>
        </is>
      </c>
      <c r="E17" s="27" t="n">
        <v>13</v>
      </c>
    </row>
    <row r="18">
      <c r="A18" s="50" t="n">
        <v>46307</v>
      </c>
      <c r="B18" s="27" t="inlineStr">
        <is>
          <t>File UV (phát sinh)</t>
        </is>
      </c>
      <c r="C18" s="27" t="inlineStr">
        <is>
          <t>RH11-1343-0129-40542</t>
        </is>
      </c>
      <c r="D18" s="27" t="inlineStr">
        <is>
          <t>SLAT</t>
        </is>
      </c>
      <c r="E18" s="27" t="n">
        <v>13</v>
      </c>
    </row>
    <row r="19">
      <c r="A19" s="50" t="n">
        <v>46307</v>
      </c>
      <c r="B19" s="27" t="inlineStr">
        <is>
          <t>File UV (phát sinh)</t>
        </is>
      </c>
      <c r="C19" s="27" t="inlineStr">
        <is>
          <t>RH11-1340-0129-40477</t>
        </is>
      </c>
      <c r="D19" s="27" t="inlineStr">
        <is>
          <t>SLAT</t>
        </is>
      </c>
      <c r="E19" s="27" t="n">
        <v>13</v>
      </c>
    </row>
    <row r="20">
      <c r="A20" s="50" t="n">
        <v>46307</v>
      </c>
      <c r="B20" s="27" t="inlineStr">
        <is>
          <t>File UV (phát sinh)</t>
        </is>
      </c>
      <c r="C20" s="27" t="inlineStr">
        <is>
          <t>RH11-1104-0129-40711</t>
        </is>
      </c>
      <c r="D20" s="27" t="inlineStr">
        <is>
          <t>SLAT</t>
        </is>
      </c>
      <c r="E20" s="27" t="n">
        <v>13</v>
      </c>
    </row>
    <row r="21">
      <c r="A21" s="50" t="n">
        <v>46307</v>
      </c>
      <c r="B21" s="27" t="inlineStr">
        <is>
          <t>File UV (phát sinh)</t>
        </is>
      </c>
      <c r="C21" s="27" t="inlineStr">
        <is>
          <t>RH11-1144-0129-40580</t>
        </is>
      </c>
      <c r="D21" s="27" t="inlineStr">
        <is>
          <t>SLAT</t>
        </is>
      </c>
      <c r="E21" s="27" t="n">
        <v>13</v>
      </c>
    </row>
    <row r="22">
      <c r="A22" s="50" t="n">
        <v>46307</v>
      </c>
      <c r="B22" s="27" t="inlineStr">
        <is>
          <t>File UV (phát sinh)</t>
        </is>
      </c>
      <c r="C22" s="27" t="inlineStr">
        <is>
          <t>RH11-1099-0129-40527</t>
        </is>
      </c>
      <c r="D22" s="27" t="inlineStr">
        <is>
          <t>SLAT</t>
        </is>
      </c>
      <c r="E22" s="27" t="n">
        <v>13</v>
      </c>
    </row>
    <row r="23">
      <c r="A23" s="50" t="n">
        <v>46307</v>
      </c>
      <c r="B23" s="27" t="inlineStr">
        <is>
          <t>File UV (phát sinh)</t>
        </is>
      </c>
      <c r="C23" s="27" t="inlineStr">
        <is>
          <t>RH11-1118-0129-40551</t>
        </is>
      </c>
      <c r="D23" s="27" t="inlineStr">
        <is>
          <t>SLAT</t>
        </is>
      </c>
      <c r="E23" s="27" t="n">
        <v>13</v>
      </c>
    </row>
    <row r="24">
      <c r="A24" s="50" t="n">
        <v>46307</v>
      </c>
      <c r="B24" s="27" t="inlineStr">
        <is>
          <t>File UV (phát sinh)</t>
        </is>
      </c>
      <c r="C24" s="27" t="inlineStr">
        <is>
          <t>RH11-1260-0129-41797</t>
        </is>
      </c>
      <c r="D24" s="27" t="inlineStr">
        <is>
          <t>SLAT</t>
        </is>
      </c>
      <c r="E24" s="27" t="n">
        <v>13</v>
      </c>
    </row>
    <row r="25">
      <c r="A25" s="50" t="n">
        <v>46307</v>
      </c>
      <c r="B25" s="27" t="inlineStr">
        <is>
          <t>File UV (phát sinh)</t>
        </is>
      </c>
      <c r="C25" s="27" t="inlineStr">
        <is>
          <t>RH11-1119-0129-31931</t>
        </is>
      </c>
      <c r="D25" s="27" t="inlineStr">
        <is>
          <t>SLAT</t>
        </is>
      </c>
      <c r="E25" s="27" t="n">
        <v>455</v>
      </c>
    </row>
    <row r="26">
      <c r="A26" s="50" t="n">
        <v>46307</v>
      </c>
      <c r="B26" s="27" t="inlineStr">
        <is>
          <t>File UV (phát sinh)</t>
        </is>
      </c>
      <c r="C26" s="27" t="inlineStr">
        <is>
          <t>RH11-1119-0129-31930</t>
        </is>
      </c>
      <c r="D26" s="27" t="inlineStr">
        <is>
          <t>SLAT</t>
        </is>
      </c>
      <c r="E26" s="27" t="n">
        <v>299</v>
      </c>
    </row>
    <row r="27">
      <c r="A27" s="50" t="n">
        <v>46307</v>
      </c>
      <c r="B27" s="27" t="inlineStr">
        <is>
          <t>File UV (phát sinh)</t>
        </is>
      </c>
      <c r="C27" s="27" t="inlineStr">
        <is>
          <t>RH11-1119-0129-31932</t>
        </is>
      </c>
      <c r="D27" s="27" t="inlineStr">
        <is>
          <t>SLAT</t>
        </is>
      </c>
      <c r="E27" s="27" t="n">
        <v>286</v>
      </c>
    </row>
    <row r="28">
      <c r="A28" s="50" t="n">
        <v>46307</v>
      </c>
      <c r="B28" s="27" t="inlineStr">
        <is>
          <t>File UV (phát sinh)</t>
        </is>
      </c>
      <c r="C28" s="27" t="inlineStr">
        <is>
          <t>RH11-1119-0129-31931</t>
        </is>
      </c>
      <c r="D28" s="27" t="inlineStr">
        <is>
          <t>SLAT</t>
        </is>
      </c>
      <c r="E28" s="27" t="n">
        <v>1092</v>
      </c>
    </row>
    <row r="29">
      <c r="A29" s="50" t="n">
        <v>46307</v>
      </c>
      <c r="B29" s="27" t="inlineStr">
        <is>
          <t>File UV (phát sinh)</t>
        </is>
      </c>
      <c r="C29" s="27" t="inlineStr">
        <is>
          <t>RH11-1340-0129-31981</t>
        </is>
      </c>
      <c r="D29" s="27" t="inlineStr">
        <is>
          <t>SLAT</t>
        </is>
      </c>
      <c r="E29" s="27" t="n">
        <v>156</v>
      </c>
    </row>
    <row r="30">
      <c r="A30" s="50" t="n">
        <v>46307</v>
      </c>
      <c r="B30" s="27" t="inlineStr">
        <is>
          <t>File UV (phát sinh)</t>
        </is>
      </c>
      <c r="C30" s="27" t="inlineStr">
        <is>
          <t>RH11-1330-0129-40437</t>
        </is>
      </c>
      <c r="D30" s="27" t="inlineStr">
        <is>
          <t>SLAT</t>
        </is>
      </c>
      <c r="E30" s="27" t="n">
        <v>13</v>
      </c>
    </row>
    <row r="31">
      <c r="A31" s="50" t="n">
        <v>46307</v>
      </c>
      <c r="B31" s="27" t="inlineStr">
        <is>
          <t>File UV (phát sinh)</t>
        </is>
      </c>
      <c r="C31" s="27" t="inlineStr">
        <is>
          <t>RH11-1291-0434-40709</t>
        </is>
      </c>
      <c r="D31" s="27" t="inlineStr">
        <is>
          <t>SLAT</t>
        </is>
      </c>
      <c r="E31" s="27" t="n">
        <v>13</v>
      </c>
    </row>
    <row r="32">
      <c r="A32" s="50" t="n">
        <v>46307</v>
      </c>
      <c r="B32" s="27" t="inlineStr">
        <is>
          <t>File UV (phát sinh)</t>
        </is>
      </c>
      <c r="C32" s="27" t="inlineStr">
        <is>
          <t>RH11-1102-0129-41797</t>
        </is>
      </c>
      <c r="D32" s="27" t="inlineStr">
        <is>
          <t>SLAT</t>
        </is>
      </c>
      <c r="E32" s="27" t="n">
        <v>13</v>
      </c>
    </row>
    <row r="33">
      <c r="A33" s="50" t="n">
        <v>46307</v>
      </c>
      <c r="B33" s="27" t="inlineStr">
        <is>
          <t>File UV (phát sinh)</t>
        </is>
      </c>
      <c r="C33" s="27" t="inlineStr">
        <is>
          <t>RH11-1102-0129-40569</t>
        </is>
      </c>
      <c r="D33" s="27" t="inlineStr">
        <is>
          <t>SLAT</t>
        </is>
      </c>
      <c r="E33" s="27" t="n">
        <v>13</v>
      </c>
    </row>
    <row r="34">
      <c r="A34" s="50" t="n">
        <v>46310</v>
      </c>
      <c r="B34" s="27" t="inlineStr">
        <is>
          <t>File Veneer</t>
        </is>
      </c>
      <c r="C34" s="27" t="inlineStr">
        <is>
          <t>code 229</t>
        </is>
      </c>
      <c r="D34" s="27" t="inlineStr">
        <is>
          <t>647x2120</t>
        </is>
      </c>
      <c r="E34" s="27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51" t="inlineStr">
        <is>
          <t>GHI CHÚ REVIEW - BẢNG S32 (LÀM RIÊNG)</t>
        </is>
      </c>
    </row>
    <row r="2">
      <c r="A2" s="52" t="inlineStr">
        <is>
          <t>1. Bảng này CHỈ chứa mã S32, tách hoàn toàn khỏi bảng P20/P26/P22/A2 (không lẫn mã khác). Khi bạn cập nhật, tôi giữ nguyên nguyên tắc này.</t>
        </is>
      </c>
    </row>
    <row r="3">
      <c r="A3" s="52" t="inlineStr">
        <is>
          <t>2. Nguồn: 5 file trong gói zip (lấy bản mới nhất mỗi loại: Beam saw bản (5), UV bản (1), Ép nóng bản (1), Veneer bản 15/10) và 3 hình (thợ sơn tuần 42, cào cước 16/10, bắn cát 15/10). Chỉ lấy dòng từ 05/10 đến nay (19/10).</t>
        </is>
      </c>
    </row>
    <row r="4">
      <c r="A4" s="52" t="inlineStr">
        <is>
          <t>3. Tất cả giờ công trong bảng khớp với số giờ trong nguồn (sheet "Đối chiếu nguồn"). Tổng 1.761,93 giờ công.</t>
        </is>
      </c>
    </row>
    <row r="5">
      <c r="A5" s="52" t="inlineStr">
        <is>
          <t>4. UV báo cáo ngày: báo cáo ghi giờ = 8 giờ x HC làm việc + 4 giờ x HC tăng ca. Tôi tách mỗi ngày thành 2 dòng (ca thường 7:30-15:30; tăng ca 15:30-19:30) để ra đúng số giờ báo cáo. Tiền lệ trong file ghi 1 dòng/ngày (7:30-19:30), cần xác nhận cách ghi.</t>
        </is>
      </c>
    </row>
    <row r="6">
      <c r="A6" s="52" t="inlineStr">
        <is>
          <t>5. UV Chủ nhật 11/10: có 9 người làm 8 giờ (72 giờ). Cần xác nhận có nhập Chủ nhật không (tô cam).</t>
        </is>
      </c>
    </row>
    <row r="7">
      <c r="A7" s="52" t="inlineStr">
        <is>
          <t>6. UV: file báo cáo ngày chỉ đến 11/10; chưa có số liệu từ 12/10. UV phát sinh 12/10 có 23 mã hàng SLAT nhưng chỉ 2 dòng có giờ (HC 1, 9:30-20:00 và 7:30-15:00); danh sách mã ở sheet "Chi tiết mã hàng". Bộ phận ghi "QC" (báo cáo ghi "QC A HIẾU"), cần xác nhận.</t>
        </is>
      </c>
    </row>
    <row r="8">
      <c r="A8" s="52" t="inlineStr">
        <is>
          <t>7. Beam saw: 12 dòng từ 08/10 đến 19/10. Khu vực ghi RC - PANEL (Raw Cutting, người dùng xác nhận 20/10). Bộ phận lấy từ cột Charge to: Machining CNC và Machining ghi "Machining"; "QA ..." ghi "QC"; 2 dòng ngày 16/10 là "Unassigned" (chưa phân công), cần xác định bộ phận (tô cam).</t>
        </is>
      </c>
    </row>
    <row r="9">
      <c r="A9" s="52" t="inlineStr">
        <is>
          <t>8. Ép nóng: 3 nhóm (5/10 hỗ trợ P1 4 người 16 giờ; 5/10 ép lót 5 người 30 giờ; 6/10 ép chính 5 người 55 giờ). Mỗi nhóm có nhiều mã hàng cùng một ca nên ghi một dòng, mã hàng nối bằng "+" (xem sheet Chi tiết). Đừng nhân giờ cho từng mã. Giờ bắt đầu 6:30 hiếm, nên xác nhận.</t>
        </is>
      </c>
    </row>
    <row r="10">
      <c r="A10" s="52" t="inlineStr">
        <is>
          <t>9. Veneer (làm mẫu): 10/10 (2 người 9:00-10:30, 3 giờ, bộ phận TF) và 15/10 (1 người 8:00-8:20, ME). Khu vực ghi RC - PANEL (Raw Cutting, người dùng xác nhận 20/10).</t>
        </is>
      </c>
    </row>
    <row r="11">
      <c r="A11" s="52" t="inlineStr">
        <is>
          <t>10. Thợ sơn tuần 42: 12 người, 7:30-19:30 từ 12/10 đến 16/10 (720 giờ), thứ Bảy 17/10 7:30-15:30 (96 giờ, có thể là giờ dự kiến). Cào cước 16/10: dòng 15:00-20:00 có thể là giờ dự kiến. Bắn cát 15/10: ghi 7:00-15:00 để đúng 8 giờ/người (báo cáo ghi 7:00-16:00).</t>
        </is>
      </c>
    </row>
    <row r="12">
      <c r="A12" s="52" t="inlineStr">
        <is>
          <t>11. Tên bộ phận: báo cáo ghi "Supcon", file dùng "Subcon". Danh sách chọn trên form có thể khác tên, cần đối chiếu.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2026-10-20T06:09:38Z</dcterms:created>
  <dcterms:modified xmlns:dcterms="http://purl.org/dc/terms/" xmlns:xsi="http://www.w3.org/2001/XMLSchema-instance" xsi:type="dcterms:W3CDTF">2026-10-20T06:09:40Z</dcterms:modified>
</cp:coreProperties>
</file>