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5. Tổng kết" sheetId="1" state="visible" r:id="rId3"/>
    <sheet name="1. Nhập thêm" sheetId="2" state="visible" r:id="rId4"/>
    <sheet name="2. Sửa dòng đã nhập" sheetId="3" state="visible" r:id="rId5"/>
    <sheet name="3. Xóa dòng trùng" sheetId="4" state="visible" r:id="rId6"/>
    <sheet name="4. S32 khu vực khác" sheetId="5" state="visible" r:id="rId7"/>
  </sheets>
  <definedNames>
    <definedName function="false" hidden="true" localSheetId="1" name="_xlnm._FilterDatabase" vbProcedure="false">'1. Nhập thêm'!$A$3:$J$47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<sst xmlns="http://schemas.openxmlformats.org/spreadsheetml/2006/main" count="383" uniqueCount="126">
  <si>
    <t xml:space="preserve">GIỜ CÔNG P20+P26+P22+A2 THEO NGÀY: HỆ THỐNG HIỆN TẠI VÀ SAU KHI SỬA</t>
  </si>
  <si>
    <t xml:space="preserve">Ngày</t>
  </si>
  <si>
    <t xml:space="preserve">Hệ thống hiện tại</t>
  </si>
  <si>
    <t xml:space="preserve">Thêm (sheet 1)</t>
  </si>
  <si>
    <t xml:space="preserve">Sửa (sheet 2)</t>
  </si>
  <si>
    <t xml:space="preserve">Xóa (sheet 3)</t>
  </si>
  <si>
    <t xml:space="preserve">Sau khi sửa</t>
  </si>
  <si>
    <t xml:space="preserve">Bảng chuẩn của mình</t>
  </si>
  <si>
    <t xml:space="preserve">Khớp</t>
  </si>
  <si>
    <t xml:space="preserve">Cột "Hệ thống hiện tại" lấy từ file xuất 26/10 (chỉ dòng do bạn tạo, mã P20, P26, P22, A2). "Bảng chuẩn" là bảng loss time mình lập. 25/10 (Chủ nhật) chưa có.</t>
  </si>
  <si>
    <t xml:space="preserve">DÒNG CẦN NHẬP THÊM (không gồm S32). Thứ tự cột nhập đúng như form: LossTime Code | Notes | Process | Dept In Charge | From | To | Worker Qty</t>
  </si>
  <si>
    <t xml:space="preserve">Ngày (Loss Date)</t>
  </si>
  <si>
    <t xml:space="preserve">LossTime Code</t>
  </si>
  <si>
    <t xml:space="preserve">Notes</t>
  </si>
  <si>
    <t xml:space="preserve">Process</t>
  </si>
  <si>
    <t xml:space="preserve">Dept In Charge</t>
  </si>
  <si>
    <t xml:space="preserve">From</t>
  </si>
  <si>
    <t xml:space="preserve">To</t>
  </si>
  <si>
    <t xml:space="preserve">Worker Qty</t>
  </si>
  <si>
    <t xml:space="preserve">(Tham khảo) Giờ công</t>
  </si>
  <si>
    <t xml:space="preserve">(Tham khảo) Lý do</t>
  </si>
  <si>
    <t xml:space="preserve">P22</t>
  </si>
  <si>
    <t xml:space="preserve">Đào tạo công nhân mới</t>
  </si>
  <si>
    <t xml:space="preserve">Assembly</t>
  </si>
  <si>
    <t xml:space="preserve">HR/ HSE</t>
  </si>
  <si>
    <t xml:space="preserve">Thiếu P22 nhân viên mới ngày 19/10</t>
  </si>
  <si>
    <t xml:space="preserve">Machining</t>
  </si>
  <si>
    <t xml:space="preserve">A2</t>
  </si>
  <si>
    <t xml:space="preserve">HC mới- 50% hiệu suất- 2 tuần-19/10</t>
  </si>
  <si>
    <t xml:space="preserve">Thiếu A2 ngày 1 của nhóm 19/10</t>
  </si>
  <si>
    <t xml:space="preserve">Raw Cutting</t>
  </si>
  <si>
    <t xml:space="preserve">Thiếu P22 nhân viên mới ngày 21/10</t>
  </si>
  <si>
    <t xml:space="preserve">P20</t>
  </si>
  <si>
    <t xml:space="preserve">Vệ sinh khu vực máy móc RC WOOD</t>
  </si>
  <si>
    <t xml:space="preserve">RAW CUTTING</t>
  </si>
  <si>
    <t xml:space="preserve">Thứ Bảy 24/10 chưa nhập (không tăng ca)</t>
  </si>
  <si>
    <t xml:space="preserve">Vệ sinh khu vực máy móc RC PANEL</t>
  </si>
  <si>
    <t xml:space="preserve">Vệ sinh khu vực máy móc MAC FINAL</t>
  </si>
  <si>
    <t xml:space="preserve">MACHINING</t>
  </si>
  <si>
    <t xml:space="preserve">Vệ sinh khu vực máy móc PRE MAC</t>
  </si>
  <si>
    <t xml:space="preserve">Quét nhà toàn xưởng khu vực ASSY</t>
  </si>
  <si>
    <t xml:space="preserve">ASSEMBLY</t>
  </si>
  <si>
    <t xml:space="preserve">P26</t>
  </si>
  <si>
    <t xml:space="preserve">Shop Floor data RC PANEL</t>
  </si>
  <si>
    <t xml:space="preserve">Shop Floor data- STOCK ROOM</t>
  </si>
  <si>
    <t xml:space="preserve">Shop Floor data MAC FINAL</t>
  </si>
  <si>
    <t xml:space="preserve">Theo dõi Hàng venner làm xong</t>
  </si>
  <si>
    <t xml:space="preserve">Nhận venner cho ép nóng</t>
  </si>
  <si>
    <t xml:space="preserve">Lựa hàng tinh giao mac- gỗ đẹp xấu</t>
  </si>
  <si>
    <t xml:space="preserve">Ghi nhận hàng giao kho</t>
  </si>
  <si>
    <t xml:space="preserve">Kiểm hàng chất lượng vào kho</t>
  </si>
  <si>
    <t xml:space="preserve">Nhận hàng gỗ đầu vào từ RC</t>
  </si>
  <si>
    <t xml:space="preserve">quét nhà toàn xưởng khu vực ASSY</t>
  </si>
  <si>
    <t xml:space="preserve">Theo hàng pilot -hàng test-spo-subcon-NCR</t>
  </si>
  <si>
    <t xml:space="preserve">Giao nhận hàng hộc kéo</t>
  </si>
  <si>
    <t xml:space="preserve">Báo output- sửa máy- giao nhận vật tư</t>
  </si>
  <si>
    <t xml:space="preserve">Giao nhận HW- phát HW cho Line sx</t>
  </si>
  <si>
    <t xml:space="preserve">HC mới- 50% hiệu suất- 2 tuần-12/10</t>
  </si>
  <si>
    <t xml:space="preserve">HC mới- 50% hiệu suất- 2 tuần-13/10</t>
  </si>
  <si>
    <t xml:space="preserve">HC mới- 50% hiệu suất- 2 tuần-14/10</t>
  </si>
  <si>
    <t xml:space="preserve">HC mới- 50% hiệu suất- 2 tuần-15/10</t>
  </si>
  <si>
    <t xml:space="preserve">HC mới- 50% hiệu suất- 2 tuần-16/10</t>
  </si>
  <si>
    <t xml:space="preserve">HC mới- 50% hiệu suất- 2 tuần-20/10</t>
  </si>
  <si>
    <t xml:space="preserve">HC mới- 50% hiệu suất- 2 tuần-21/10</t>
  </si>
  <si>
    <t xml:space="preserve">HC mới- 50% hiệu suất- 2 tuần-22/10</t>
  </si>
  <si>
    <t xml:space="preserve">Tổng</t>
  </si>
  <si>
    <t xml:space="preserve">Vàng = 19/10, 20/10, 21/10 (bổ sung). Trắng = toàn bộ ngày Thứ Bảy 24/10. Chủ nhật 25/10 chưa lập (chờ xác nhận khu vực nào làm việc).</t>
  </si>
  <si>
    <t xml:space="preserve">DÒNG ĐÃ NHẬP NHƯNG SAI (mở dòng đó trên hệ thống rồi sửa đúng ô ghi bên dưới)</t>
  </si>
  <si>
    <t xml:space="preserve">Mã</t>
  </si>
  <si>
    <t xml:space="preserve">Nhận ra dòng bằng (Notes / mô tả)</t>
  </si>
  <si>
    <t xml:space="preserve">Ô cần sửa</t>
  </si>
  <si>
    <t xml:space="preserve">Giá trị đang có</t>
  </si>
  <si>
    <t xml:space="preserve">Giá trị đúng</t>
  </si>
  <si>
    <t xml:space="preserve">Lý do</t>
  </si>
  <si>
    <t xml:space="preserve">Giờ công thay đổi</t>
  </si>
  <si>
    <t xml:space="preserve">Quét nhà toàn xưởng khu vực ASSY (Assembly, 7:30-20:00, 2 người)</t>
  </si>
  <si>
    <t xml:space="preserve">Sai bộ phận, đồng nghiệp đã chỉ ra</t>
  </si>
  <si>
    <t xml:space="preserve">Đào tạo công nhân mới (Assembly, 8:00-16:00)</t>
  </si>
  <si>
    <t xml:space="preserve">1</t>
  </si>
  <si>
    <t xml:space="preserve">2</t>
  </si>
  <si>
    <t xml:space="preserve">Hệ thống ghi 1 người, danh sách có 2 người Assembly</t>
  </si>
  <si>
    <t xml:space="preserve">Vệ sinh khu vực máy móc MAC FINAL (7:00-7:30, 7 người)</t>
  </si>
  <si>
    <t xml:space="preserve">Đây là dòng của Machining</t>
  </si>
  <si>
    <t xml:space="preserve">Vệ sinh khu vực máy móc PRE MAC (7:00-7:30, 12 người)</t>
  </si>
  <si>
    <t xml:space="preserve">Nhận hàng gỗ đầu vào từ RC (Raw Cutting, 7:30-20:00, 1 người)</t>
  </si>
  <si>
    <t xml:space="preserve">Theo mẫu cố định từ 14/3 (Process Raw Cutting, bộ phận Machining)</t>
  </si>
  <si>
    <t xml:space="preserve">Đào tạo công nhân mới (Assembly, 8:00-16:30, 6 người)</t>
  </si>
  <si>
    <t xml:space="preserve">16:30</t>
  </si>
  <si>
    <t xml:space="preserve">16:00</t>
  </si>
  <si>
    <t xml:space="preserve">Tùy chọn, ngày cũ: chuẩn là 8:00-16:00</t>
  </si>
  <si>
    <t xml:space="preserve">Dòng xám (5/10) là tùy chọn, không ảnh hưởng tuần 43.</t>
  </si>
  <si>
    <t xml:space="preserve">DÒNG TRÙNG CẦN XÓA</t>
  </si>
  <si>
    <t xml:space="preserve">Nhận ra dòng bằng</t>
  </si>
  <si>
    <t xml:space="preserve">Số dòng cần xóa</t>
  </si>
  <si>
    <t xml:space="preserve">Giờ công bớt đi</t>
  </si>
  <si>
    <t xml:space="preserve">Notes "HC mới- 50% hiệu suất- 2 tuần-09/10", Assembly, 7:30-12:00, 6 người (có 2 dòng giống nhau)</t>
  </si>
  <si>
    <t xml:space="preserve">Nhập hai lần. Giữ 1 dòng, xóa 1 dòng</t>
  </si>
  <si>
    <t xml:space="preserve">S32 CỦA RAW CUTTING / MACHINING (không gồm Assembly: cào cước, bắn cát, thợ sơn bạn sẽ nhập khi cần)</t>
  </si>
  <si>
    <t xml:space="preserve">Việc cần làm</t>
  </si>
  <si>
    <t xml:space="preserve">Giờ công</t>
  </si>
  <si>
    <t xml:space="preserve">Ghi chú</t>
  </si>
  <si>
    <t xml:space="preserve">NHẬP THÊM</t>
  </si>
  <si>
    <t xml:space="preserve">S32</t>
  </si>
  <si>
    <t xml:space="preserve">Không có bomtime chuyền UV</t>
  </si>
  <si>
    <t xml:space="preserve">FINISHING</t>
  </si>
  <si>
    <t xml:space="preserve">UV ca thường 19/10 (96 giờ)</t>
  </si>
  <si>
    <t xml:space="preserve">UV tăng ca 19/10 (40 giờ)</t>
  </si>
  <si>
    <t xml:space="preserve">UV ca thường 20/10 (96 giờ)</t>
  </si>
  <si>
    <t xml:space="preserve">UV tăng ca 20/10 (40 giờ)</t>
  </si>
  <si>
    <t xml:space="preserve">UV ca thường 21/10 (96 giờ), ca tăng ca đã có</t>
  </si>
  <si>
    <t xml:space="preserve">XÓA</t>
  </si>
  <si>
    <t xml:space="preserve">Xóa dòng 12 người (96 giờ). Giữ dòng 11 người (88 giờ), khớp báo cáo UV</t>
  </si>
  <si>
    <t xml:space="preserve">SỬA NGÀY</t>
  </si>
  <si>
    <t xml:space="preserve">Beam saw - phát sinh (chi tiết A05-S01-1, mã AR1113F1330)</t>
  </si>
  <si>
    <t xml:space="preserve">Loss Date 18/10 đổi thành 19/10 (nguồn ghi ngày 19/10)</t>
  </si>
  <si>
    <t xml:space="preserve">Beam saw - phát sinh (chi tiết A05-S01-2, mã AR1113F1330)</t>
  </si>
  <si>
    <t xml:space="preserve">Loss Date 18/10 đổi thành 19/10</t>
  </si>
  <si>
    <t xml:space="preserve">Beam saw - phát sinh (chi tiết A1-S02, mã SH20-1029-1471-41191)</t>
  </si>
  <si>
    <t xml:space="preserve">ĐIỀN BỘ PHẬN</t>
  </si>
  <si>
    <t xml:space="preserve">Beam saw - phát sinh (CZ567F08), 18:10-18:15, 3 người</t>
  </si>
  <si>
    <t xml:space="preserve">(trống)</t>
  </si>
  <si>
    <t xml:space="preserve">Đang để trống Dept. Đề xuất OTHERS (INVESTIGATE), cùng cách ghi với dòng Unassigned khác</t>
  </si>
  <si>
    <t xml:space="preserve">Beam saw - phát sinh (CZ567F09), 18:15-18:18, 3 người</t>
  </si>
  <si>
    <t xml:space="preserve">Đang để trống Dept. Đề xuất OTHERS (INVESTIGATE)</t>
  </si>
  <si>
    <t xml:space="preserve">Veneer walnut cắt ghép (bs lại), RH21-2184-492, 10:00-11:15, 2 người</t>
  </si>
  <si>
    <t xml:space="preserve">Đang để trống Dept. Nguồn ghi "bs lại", cần hỏi bộ phận đúng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</si>
</sst>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#,##0.0;\-#,##0.0;\-"/>
    <numFmt numFmtId="167" formatCode="hh:mm"/>
    <numFmt numFmtId="168" formatCode="0.0"/>
    <numFmt numFmtId="169" formatCode="#,##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sz val="11"/>
      <name val="Times New Roman"/>
      <family val="0"/>
      <charset val="1"/>
    </font>
    <font>
      <i val="true"/>
      <sz val="11"/>
      <name val="Times New Roman"/>
      <family val="0"/>
      <charset val="1"/>
    </font>
    <font>
      <b val="true"/>
      <sz val="11"/>
      <name val="Times New Roman"/>
      <family val="0"/>
      <charset val="1"/>
    </font>
    <font>
      <sz val="11"/>
      <color rgb="FF000000"/>
      <name val="Times New Roman"/>
      <family val="0"/>
      <charset val="1"/>
    </font>
    <font>
      <sz val="11"/>
      <color rgb="FF7F7F7F"/>
      <name val="Times New Roman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D9D9D9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7F7F7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6" min="4" style="0" width="14"/>
    <col collapsed="false" customWidth="true" hidden="false" outlineLevel="0" max="7" min="7" style="0" width="20"/>
    <col collapsed="false" customWidth="true" hidden="false" outlineLevel="0" max="8" min="8" style="0" width="1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15" hidden="false" customHeight="false" outlineLevel="0" collapsed="false">
      <c r="A4" s="3" t="n">
        <v>46314</v>
      </c>
      <c r="B4" s="4" t="n">
        <v>524</v>
      </c>
      <c r="C4" s="4" t="n">
        <f aca="false">SUMIFS('1. Nhập thêm'!$I$4:$I$47,'1. Nhập thêm'!$A$4:$A$47,A4)</f>
        <v>24</v>
      </c>
      <c r="D4" s="4" t="n">
        <v>0</v>
      </c>
      <c r="E4" s="4" t="n">
        <v>0</v>
      </c>
      <c r="F4" s="4" t="n">
        <f aca="false">B4+C4+D4+E4</f>
        <v>548</v>
      </c>
      <c r="G4" s="4" t="n">
        <v>548</v>
      </c>
      <c r="H4" s="5" t="str">
        <f aca="false">IF(ABS(F4-G4)&lt;0.01,"Khớp","Lệch")</f>
        <v>Khớp</v>
      </c>
    </row>
    <row r="5" customFormat="false" ht="15" hidden="false" customHeight="false" outlineLevel="0" collapsed="false">
      <c r="A5" s="3" t="n">
        <v>46315</v>
      </c>
      <c r="B5" s="4" t="n">
        <v>545</v>
      </c>
      <c r="C5" s="4" t="n">
        <f aca="false">SUMIFS('1. Nhập thêm'!$I$4:$I$47,'1. Nhập thêm'!$A$4:$A$47,A5)</f>
        <v>13.5</v>
      </c>
      <c r="D5" s="4" t="n">
        <v>0</v>
      </c>
      <c r="E5" s="4" t="n">
        <v>0</v>
      </c>
      <c r="F5" s="4" t="n">
        <f aca="false">B5+C5+D5+E5</f>
        <v>558.5</v>
      </c>
      <c r="G5" s="4" t="n">
        <v>558.5</v>
      </c>
      <c r="H5" s="5" t="str">
        <f aca="false">IF(ABS(F5-G5)&lt;0.01,"Khớp","Lệch")</f>
        <v>Khớp</v>
      </c>
    </row>
    <row r="6" customFormat="false" ht="15" hidden="false" customHeight="false" outlineLevel="0" collapsed="false">
      <c r="A6" s="3" t="n">
        <v>46316</v>
      </c>
      <c r="B6" s="4" t="n">
        <v>509.5</v>
      </c>
      <c r="C6" s="4" t="n">
        <f aca="false">SUMIFS('1. Nhập thêm'!$I$4:$I$47,'1. Nhập thêm'!$A$4:$A$47,A6)</f>
        <v>24</v>
      </c>
      <c r="D6" s="4" t="n">
        <v>8</v>
      </c>
      <c r="E6" s="4" t="n">
        <v>-27</v>
      </c>
      <c r="F6" s="4" t="n">
        <f aca="false">B6+C6+D6+E6</f>
        <v>514.5</v>
      </c>
      <c r="G6" s="4" t="n">
        <v>514.5</v>
      </c>
      <c r="H6" s="5" t="str">
        <f aca="false">IF(ABS(F6-G6)&lt;0.01,"Khớp","Lệch")</f>
        <v>Khớp</v>
      </c>
    </row>
    <row r="7" customFormat="false" ht="15" hidden="false" customHeight="false" outlineLevel="0" collapsed="false">
      <c r="A7" s="3" t="n">
        <v>46317</v>
      </c>
      <c r="B7" s="4" t="n">
        <v>509</v>
      </c>
      <c r="C7" s="4" t="n">
        <f aca="false">SUMIFS('1. Nhập thêm'!$I$4:$I$47,'1. Nhập thêm'!$A$4:$A$47,A7)</f>
        <v>0</v>
      </c>
      <c r="D7" s="4" t="n">
        <v>0</v>
      </c>
      <c r="E7" s="4" t="n">
        <v>0</v>
      </c>
      <c r="F7" s="4" t="n">
        <f aca="false">B7+C7+D7+E7</f>
        <v>509</v>
      </c>
      <c r="G7" s="4" t="n">
        <v>509</v>
      </c>
      <c r="H7" s="5" t="str">
        <f aca="false">IF(ABS(F7-G7)&lt;0.01,"Khớp","Lệch")</f>
        <v>Khớp</v>
      </c>
    </row>
    <row r="8" customFormat="false" ht="15" hidden="false" customHeight="false" outlineLevel="0" collapsed="false">
      <c r="A8" s="3" t="n">
        <v>46318</v>
      </c>
      <c r="B8" s="4" t="n">
        <v>470</v>
      </c>
      <c r="C8" s="4" t="n">
        <f aca="false">SUMIFS('1. Nhập thêm'!$I$4:$I$47,'1. Nhập thêm'!$A$4:$A$47,A8)</f>
        <v>0</v>
      </c>
      <c r="D8" s="4" t="n">
        <v>0</v>
      </c>
      <c r="E8" s="4" t="n">
        <v>0</v>
      </c>
      <c r="F8" s="4" t="n">
        <f aca="false">B8+C8+D8+E8</f>
        <v>470</v>
      </c>
      <c r="G8" s="4" t="n">
        <v>470</v>
      </c>
      <c r="H8" s="5" t="str">
        <f aca="false">IF(ABS(F8-G8)&lt;0.01,"Khớp","Lệch")</f>
        <v>Khớp</v>
      </c>
    </row>
    <row r="9" customFormat="false" ht="15" hidden="false" customHeight="false" outlineLevel="0" collapsed="false">
      <c r="A9" s="3" t="n">
        <v>46319</v>
      </c>
      <c r="B9" s="4" t="n">
        <v>0</v>
      </c>
      <c r="C9" s="4" t="n">
        <f aca="false">SUMIFS('1. Nhập thêm'!$I$4:$I$47,'1. Nhập thêm'!$A$4:$A$47,A9)</f>
        <v>344</v>
      </c>
      <c r="D9" s="4" t="n">
        <v>0</v>
      </c>
      <c r="E9" s="4" t="n">
        <v>0</v>
      </c>
      <c r="F9" s="4" t="n">
        <f aca="false">B9+C9+D9+E9</f>
        <v>344</v>
      </c>
      <c r="G9" s="4" t="n">
        <v>344</v>
      </c>
      <c r="H9" s="5" t="str">
        <f aca="false">IF(ABS(F9-G9)&lt;0.01,"Khớp","Lệch")</f>
        <v>Khớp</v>
      </c>
    </row>
    <row r="12" customFormat="false" ht="15" hidden="false" customHeight="false" outlineLevel="0" collapsed="false">
      <c r="A12" s="6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40"/>
  </cols>
  <sheetData>
    <row r="1" customFormat="false" ht="16.15" hidden="false" customHeight="false" outlineLevel="0" collapsed="false">
      <c r="A1" s="1" t="s">
        <v>10</v>
      </c>
    </row>
    <row r="3" customFormat="false" ht="33.75" hidden="false" customHeight="true" outlineLevel="0" collapsed="false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7" t="s">
        <v>19</v>
      </c>
      <c r="J3" s="7" t="s">
        <v>20</v>
      </c>
    </row>
    <row r="4" customFormat="false" ht="15" hidden="false" customHeight="false" outlineLevel="0" collapsed="false">
      <c r="A4" s="8" t="n">
        <v>46314</v>
      </c>
      <c r="B4" s="9" t="s">
        <v>21</v>
      </c>
      <c r="C4" s="10" t="s">
        <v>22</v>
      </c>
      <c r="D4" s="9" t="s">
        <v>23</v>
      </c>
      <c r="E4" s="9" t="s">
        <v>24</v>
      </c>
      <c r="F4" s="11" t="n">
        <v>0.333333333333333</v>
      </c>
      <c r="G4" s="11" t="n">
        <v>0.666666666666667</v>
      </c>
      <c r="H4" s="9" t="n">
        <v>2</v>
      </c>
      <c r="I4" s="12" t="n">
        <f aca="false">(G4-F4)*24*H4</f>
        <v>16</v>
      </c>
      <c r="J4" s="13" t="s">
        <v>25</v>
      </c>
    </row>
    <row r="5" customFormat="false" ht="15" hidden="false" customHeight="false" outlineLevel="0" collapsed="false">
      <c r="A5" s="8" t="n">
        <v>46314</v>
      </c>
      <c r="B5" s="9" t="s">
        <v>21</v>
      </c>
      <c r="C5" s="10" t="s">
        <v>22</v>
      </c>
      <c r="D5" s="9" t="s">
        <v>26</v>
      </c>
      <c r="E5" s="9" t="s">
        <v>24</v>
      </c>
      <c r="F5" s="11" t="n">
        <v>0.333333333333333</v>
      </c>
      <c r="G5" s="11" t="n">
        <v>0.666666666666667</v>
      </c>
      <c r="H5" s="9" t="n">
        <v>1</v>
      </c>
      <c r="I5" s="12" t="n">
        <f aca="false">(G5-F5)*24*H5</f>
        <v>8</v>
      </c>
      <c r="J5" s="13" t="s">
        <v>25</v>
      </c>
    </row>
    <row r="6" customFormat="false" ht="15" hidden="false" customHeight="false" outlineLevel="0" collapsed="false">
      <c r="A6" s="8" t="n">
        <v>46315</v>
      </c>
      <c r="B6" s="9" t="s">
        <v>27</v>
      </c>
      <c r="C6" s="10" t="s">
        <v>28</v>
      </c>
      <c r="D6" s="9" t="s">
        <v>23</v>
      </c>
      <c r="E6" s="9" t="s">
        <v>24</v>
      </c>
      <c r="F6" s="11" t="n">
        <v>0.3125</v>
      </c>
      <c r="G6" s="11" t="n">
        <v>0.5</v>
      </c>
      <c r="H6" s="9" t="n">
        <v>2</v>
      </c>
      <c r="I6" s="12" t="n">
        <f aca="false">(G6-F6)*24*H6</f>
        <v>9</v>
      </c>
      <c r="J6" s="13" t="s">
        <v>29</v>
      </c>
    </row>
    <row r="7" customFormat="false" ht="15" hidden="false" customHeight="false" outlineLevel="0" collapsed="false">
      <c r="A7" s="8" t="n">
        <v>46315</v>
      </c>
      <c r="B7" s="9" t="s">
        <v>27</v>
      </c>
      <c r="C7" s="10" t="s">
        <v>28</v>
      </c>
      <c r="D7" s="9" t="s">
        <v>26</v>
      </c>
      <c r="E7" s="9" t="s">
        <v>24</v>
      </c>
      <c r="F7" s="11" t="n">
        <v>0.3125</v>
      </c>
      <c r="G7" s="11" t="n">
        <v>0.5</v>
      </c>
      <c r="H7" s="9" t="n">
        <v>1</v>
      </c>
      <c r="I7" s="12" t="n">
        <f aca="false">(G7-F7)*24*H7</f>
        <v>4.5</v>
      </c>
      <c r="J7" s="13" t="s">
        <v>29</v>
      </c>
    </row>
    <row r="8" customFormat="false" ht="15" hidden="false" customHeight="false" outlineLevel="0" collapsed="false">
      <c r="A8" s="8" t="n">
        <v>46316</v>
      </c>
      <c r="B8" s="9" t="s">
        <v>21</v>
      </c>
      <c r="C8" s="10" t="s">
        <v>22</v>
      </c>
      <c r="D8" s="9" t="s">
        <v>30</v>
      </c>
      <c r="E8" s="9" t="s">
        <v>24</v>
      </c>
      <c r="F8" s="11" t="n">
        <v>0.333333333333333</v>
      </c>
      <c r="G8" s="11" t="n">
        <v>0.666666666666667</v>
      </c>
      <c r="H8" s="9" t="n">
        <v>1</v>
      </c>
      <c r="I8" s="12" t="n">
        <f aca="false">(G8-F8)*24*H8</f>
        <v>8</v>
      </c>
      <c r="J8" s="13" t="s">
        <v>31</v>
      </c>
    </row>
    <row r="9" customFormat="false" ht="15" hidden="false" customHeight="false" outlineLevel="0" collapsed="false">
      <c r="A9" s="8" t="n">
        <v>46316</v>
      </c>
      <c r="B9" s="9" t="s">
        <v>21</v>
      </c>
      <c r="C9" s="10" t="s">
        <v>22</v>
      </c>
      <c r="D9" s="9" t="s">
        <v>26</v>
      </c>
      <c r="E9" s="9" t="s">
        <v>24</v>
      </c>
      <c r="F9" s="11" t="n">
        <v>0.333333333333333</v>
      </c>
      <c r="G9" s="11" t="n">
        <v>0.666666666666667</v>
      </c>
      <c r="H9" s="9" t="n">
        <v>2</v>
      </c>
      <c r="I9" s="12" t="n">
        <f aca="false">(G9-F9)*24*H9</f>
        <v>16</v>
      </c>
      <c r="J9" s="13" t="s">
        <v>31</v>
      </c>
    </row>
    <row r="10" customFormat="false" ht="15" hidden="false" customHeight="false" outlineLevel="0" collapsed="false">
      <c r="A10" s="14" t="n">
        <v>46319</v>
      </c>
      <c r="B10" s="15" t="s">
        <v>32</v>
      </c>
      <c r="C10" s="16" t="s">
        <v>33</v>
      </c>
      <c r="D10" s="15" t="s">
        <v>30</v>
      </c>
      <c r="E10" s="15" t="s">
        <v>34</v>
      </c>
      <c r="F10" s="17" t="n">
        <v>0.291666666666667</v>
      </c>
      <c r="G10" s="17" t="n">
        <v>0.3125</v>
      </c>
      <c r="H10" s="15" t="n">
        <v>7</v>
      </c>
      <c r="I10" s="12" t="n">
        <f aca="false">(G10-F10)*24*H10</f>
        <v>3.5</v>
      </c>
      <c r="J10" s="13" t="s">
        <v>35</v>
      </c>
    </row>
    <row r="11" customFormat="false" ht="15" hidden="false" customHeight="false" outlineLevel="0" collapsed="false">
      <c r="A11" s="14" t="n">
        <v>46319</v>
      </c>
      <c r="B11" s="15" t="s">
        <v>32</v>
      </c>
      <c r="C11" s="16" t="s">
        <v>36</v>
      </c>
      <c r="D11" s="15" t="s">
        <v>30</v>
      </c>
      <c r="E11" s="15" t="s">
        <v>34</v>
      </c>
      <c r="F11" s="17" t="n">
        <v>0.291666666666667</v>
      </c>
      <c r="G11" s="17" t="n">
        <v>0.3125</v>
      </c>
      <c r="H11" s="15" t="n">
        <v>18</v>
      </c>
      <c r="I11" s="12" t="n">
        <f aca="false">(G11-F11)*24*H11</f>
        <v>9</v>
      </c>
      <c r="J11" s="13" t="s">
        <v>35</v>
      </c>
    </row>
    <row r="12" customFormat="false" ht="15" hidden="false" customHeight="false" outlineLevel="0" collapsed="false">
      <c r="A12" s="14" t="n">
        <v>46319</v>
      </c>
      <c r="B12" s="15" t="s">
        <v>32</v>
      </c>
      <c r="C12" s="16" t="s">
        <v>37</v>
      </c>
      <c r="D12" s="15" t="s">
        <v>26</v>
      </c>
      <c r="E12" s="15" t="s">
        <v>38</v>
      </c>
      <c r="F12" s="17" t="n">
        <v>0.291666666666667</v>
      </c>
      <c r="G12" s="17" t="n">
        <v>0.3125</v>
      </c>
      <c r="H12" s="15" t="n">
        <v>7</v>
      </c>
      <c r="I12" s="12" t="n">
        <f aca="false">(G12-F12)*24*H12</f>
        <v>3.5</v>
      </c>
      <c r="J12" s="13" t="s">
        <v>35</v>
      </c>
    </row>
    <row r="13" customFormat="false" ht="15" hidden="false" customHeight="false" outlineLevel="0" collapsed="false">
      <c r="A13" s="14" t="n">
        <v>46319</v>
      </c>
      <c r="B13" s="15" t="s">
        <v>32</v>
      </c>
      <c r="C13" s="16" t="s">
        <v>39</v>
      </c>
      <c r="D13" s="15" t="s">
        <v>26</v>
      </c>
      <c r="E13" s="15" t="s">
        <v>38</v>
      </c>
      <c r="F13" s="17" t="n">
        <v>0.291666666666667</v>
      </c>
      <c r="G13" s="17" t="n">
        <v>0.3125</v>
      </c>
      <c r="H13" s="15" t="n">
        <v>12</v>
      </c>
      <c r="I13" s="12" t="n">
        <f aca="false">(G13-F13)*24*H13</f>
        <v>6</v>
      </c>
      <c r="J13" s="13" t="s">
        <v>35</v>
      </c>
    </row>
    <row r="14" customFormat="false" ht="15" hidden="false" customHeight="false" outlineLevel="0" collapsed="false">
      <c r="A14" s="14" t="n">
        <v>46319</v>
      </c>
      <c r="B14" s="15" t="s">
        <v>32</v>
      </c>
      <c r="C14" s="16" t="s">
        <v>40</v>
      </c>
      <c r="D14" s="15" t="s">
        <v>23</v>
      </c>
      <c r="E14" s="15" t="s">
        <v>41</v>
      </c>
      <c r="F14" s="17" t="n">
        <v>0.3125</v>
      </c>
      <c r="G14" s="17" t="n">
        <v>0.645833333333333</v>
      </c>
      <c r="H14" s="15" t="n">
        <v>2</v>
      </c>
      <c r="I14" s="12" t="n">
        <f aca="false">(G14-F14)*24*H14</f>
        <v>16</v>
      </c>
      <c r="J14" s="13" t="s">
        <v>35</v>
      </c>
    </row>
    <row r="15" customFormat="false" ht="15" hidden="false" customHeight="false" outlineLevel="0" collapsed="false">
      <c r="A15" s="14" t="n">
        <v>46319</v>
      </c>
      <c r="B15" s="15" t="s">
        <v>42</v>
      </c>
      <c r="C15" s="16" t="s">
        <v>43</v>
      </c>
      <c r="D15" s="15" t="s">
        <v>30</v>
      </c>
      <c r="E15" s="15" t="s">
        <v>34</v>
      </c>
      <c r="F15" s="17" t="n">
        <v>0.3125</v>
      </c>
      <c r="G15" s="17" t="n">
        <v>0.645833333333333</v>
      </c>
      <c r="H15" s="15" t="n">
        <v>4</v>
      </c>
      <c r="I15" s="12" t="n">
        <f aca="false">(G15-F15)*24*H15</f>
        <v>32</v>
      </c>
      <c r="J15" s="13" t="s">
        <v>35</v>
      </c>
    </row>
    <row r="16" customFormat="false" ht="15" hidden="false" customHeight="false" outlineLevel="0" collapsed="false">
      <c r="A16" s="14" t="n">
        <v>46319</v>
      </c>
      <c r="B16" s="15" t="s">
        <v>42</v>
      </c>
      <c r="C16" s="16" t="s">
        <v>44</v>
      </c>
      <c r="D16" s="15" t="s">
        <v>26</v>
      </c>
      <c r="E16" s="15" t="s">
        <v>38</v>
      </c>
      <c r="F16" s="17" t="n">
        <v>0.3125</v>
      </c>
      <c r="G16" s="17" t="n">
        <v>0.645833333333333</v>
      </c>
      <c r="H16" s="15" t="n">
        <v>1</v>
      </c>
      <c r="I16" s="12" t="n">
        <f aca="false">(G16-F16)*24*H16</f>
        <v>8</v>
      </c>
      <c r="J16" s="13" t="s">
        <v>35</v>
      </c>
    </row>
    <row r="17" customFormat="false" ht="15" hidden="false" customHeight="false" outlineLevel="0" collapsed="false">
      <c r="A17" s="14" t="n">
        <v>46319</v>
      </c>
      <c r="B17" s="15" t="s">
        <v>42</v>
      </c>
      <c r="C17" s="16" t="s">
        <v>45</v>
      </c>
      <c r="D17" s="15" t="s">
        <v>26</v>
      </c>
      <c r="E17" s="15" t="s">
        <v>38</v>
      </c>
      <c r="F17" s="17" t="n">
        <v>0.3125</v>
      </c>
      <c r="G17" s="17" t="n">
        <v>0.645833333333333</v>
      </c>
      <c r="H17" s="15" t="n">
        <v>1</v>
      </c>
      <c r="I17" s="12" t="n">
        <f aca="false">(G17-F17)*24*H17</f>
        <v>8</v>
      </c>
      <c r="J17" s="13" t="s">
        <v>35</v>
      </c>
    </row>
    <row r="18" customFormat="false" ht="15" hidden="false" customHeight="false" outlineLevel="0" collapsed="false">
      <c r="A18" s="14" t="n">
        <v>46319</v>
      </c>
      <c r="B18" s="15" t="s">
        <v>42</v>
      </c>
      <c r="C18" s="16" t="s">
        <v>46</v>
      </c>
      <c r="D18" s="15" t="s">
        <v>30</v>
      </c>
      <c r="E18" s="15" t="s">
        <v>34</v>
      </c>
      <c r="F18" s="17" t="n">
        <v>0.3125</v>
      </c>
      <c r="G18" s="17" t="n">
        <v>0.645833333333333</v>
      </c>
      <c r="H18" s="15" t="n">
        <v>1</v>
      </c>
      <c r="I18" s="12" t="n">
        <f aca="false">(G18-F18)*24*H18</f>
        <v>8</v>
      </c>
      <c r="J18" s="13" t="s">
        <v>35</v>
      </c>
    </row>
    <row r="19" customFormat="false" ht="15" hidden="false" customHeight="false" outlineLevel="0" collapsed="false">
      <c r="A19" s="14" t="n">
        <v>46319</v>
      </c>
      <c r="B19" s="15" t="s">
        <v>42</v>
      </c>
      <c r="C19" s="16" t="s">
        <v>47</v>
      </c>
      <c r="D19" s="15" t="s">
        <v>30</v>
      </c>
      <c r="E19" s="15" t="s">
        <v>34</v>
      </c>
      <c r="F19" s="17" t="n">
        <v>0.3125</v>
      </c>
      <c r="G19" s="17" t="n">
        <v>0.645833333333333</v>
      </c>
      <c r="H19" s="15" t="n">
        <v>1</v>
      </c>
      <c r="I19" s="12" t="n">
        <f aca="false">(G19-F19)*24*H19</f>
        <v>8</v>
      </c>
      <c r="J19" s="13" t="s">
        <v>35</v>
      </c>
    </row>
    <row r="20" customFormat="false" ht="15" hidden="false" customHeight="false" outlineLevel="0" collapsed="false">
      <c r="A20" s="14" t="n">
        <v>46319</v>
      </c>
      <c r="B20" s="15" t="s">
        <v>42</v>
      </c>
      <c r="C20" s="16" t="s">
        <v>48</v>
      </c>
      <c r="D20" s="15" t="s">
        <v>30</v>
      </c>
      <c r="E20" s="15" t="s">
        <v>34</v>
      </c>
      <c r="F20" s="17" t="n">
        <v>0.3125</v>
      </c>
      <c r="G20" s="17" t="n">
        <v>0.645833333333333</v>
      </c>
      <c r="H20" s="15" t="n">
        <v>1</v>
      </c>
      <c r="I20" s="12" t="n">
        <f aca="false">(G20-F20)*24*H20</f>
        <v>8</v>
      </c>
      <c r="J20" s="13" t="s">
        <v>35</v>
      </c>
    </row>
    <row r="21" customFormat="false" ht="15" hidden="false" customHeight="false" outlineLevel="0" collapsed="false">
      <c r="A21" s="14" t="n">
        <v>46319</v>
      </c>
      <c r="B21" s="15" t="s">
        <v>42</v>
      </c>
      <c r="C21" s="16" t="s">
        <v>49</v>
      </c>
      <c r="D21" s="15" t="s">
        <v>30</v>
      </c>
      <c r="E21" s="15" t="s">
        <v>34</v>
      </c>
      <c r="F21" s="17" t="n">
        <v>0.3125</v>
      </c>
      <c r="G21" s="17" t="n">
        <v>0.645833333333333</v>
      </c>
      <c r="H21" s="15" t="n">
        <v>1</v>
      </c>
      <c r="I21" s="12" t="n">
        <f aca="false">(G21-F21)*24*H21</f>
        <v>8</v>
      </c>
      <c r="J21" s="13" t="s">
        <v>35</v>
      </c>
    </row>
    <row r="22" customFormat="false" ht="15" hidden="false" customHeight="false" outlineLevel="0" collapsed="false">
      <c r="A22" s="14" t="n">
        <v>46319</v>
      </c>
      <c r="B22" s="15" t="s">
        <v>42</v>
      </c>
      <c r="C22" s="16" t="s">
        <v>50</v>
      </c>
      <c r="D22" s="15" t="s">
        <v>30</v>
      </c>
      <c r="E22" s="15" t="s">
        <v>34</v>
      </c>
      <c r="F22" s="17" t="n">
        <v>0.3125</v>
      </c>
      <c r="G22" s="17" t="n">
        <v>0.645833333333333</v>
      </c>
      <c r="H22" s="15" t="n">
        <v>1</v>
      </c>
      <c r="I22" s="12" t="n">
        <f aca="false">(G22-F22)*24*H22</f>
        <v>8</v>
      </c>
      <c r="J22" s="13" t="s">
        <v>35</v>
      </c>
    </row>
    <row r="23" customFormat="false" ht="15" hidden="false" customHeight="false" outlineLevel="0" collapsed="false">
      <c r="A23" s="14" t="n">
        <v>46319</v>
      </c>
      <c r="B23" s="15" t="s">
        <v>42</v>
      </c>
      <c r="C23" s="16" t="s">
        <v>51</v>
      </c>
      <c r="D23" s="15" t="s">
        <v>30</v>
      </c>
      <c r="E23" s="15" t="s">
        <v>38</v>
      </c>
      <c r="F23" s="17" t="n">
        <v>0.3125</v>
      </c>
      <c r="G23" s="17" t="n">
        <v>0.645833333333333</v>
      </c>
      <c r="H23" s="15" t="n">
        <v>1</v>
      </c>
      <c r="I23" s="12" t="n">
        <f aca="false">(G23-F23)*24*H23</f>
        <v>8</v>
      </c>
      <c r="J23" s="13" t="s">
        <v>35</v>
      </c>
    </row>
    <row r="24" customFormat="false" ht="15" hidden="false" customHeight="false" outlineLevel="0" collapsed="false">
      <c r="A24" s="14" t="n">
        <v>46319</v>
      </c>
      <c r="B24" s="15" t="s">
        <v>42</v>
      </c>
      <c r="C24" s="16" t="s">
        <v>49</v>
      </c>
      <c r="D24" s="15" t="s">
        <v>26</v>
      </c>
      <c r="E24" s="15" t="s">
        <v>38</v>
      </c>
      <c r="F24" s="17" t="n">
        <v>0.3125</v>
      </c>
      <c r="G24" s="17" t="n">
        <v>0.645833333333333</v>
      </c>
      <c r="H24" s="15" t="n">
        <v>1</v>
      </c>
      <c r="I24" s="12" t="n">
        <f aca="false">(G24-F24)*24*H24</f>
        <v>8</v>
      </c>
      <c r="J24" s="13" t="s">
        <v>35</v>
      </c>
    </row>
    <row r="25" customFormat="false" ht="15" hidden="false" customHeight="false" outlineLevel="0" collapsed="false">
      <c r="A25" s="14" t="n">
        <v>46319</v>
      </c>
      <c r="B25" s="15" t="s">
        <v>42</v>
      </c>
      <c r="C25" s="16" t="s">
        <v>52</v>
      </c>
      <c r="D25" s="15" t="s">
        <v>26</v>
      </c>
      <c r="E25" s="15" t="s">
        <v>38</v>
      </c>
      <c r="F25" s="17" t="n">
        <v>0.3125</v>
      </c>
      <c r="G25" s="17" t="n">
        <v>0.645833333333333</v>
      </c>
      <c r="H25" s="15" t="n">
        <v>1</v>
      </c>
      <c r="I25" s="12" t="n">
        <f aca="false">(G25-F25)*24*H25</f>
        <v>8</v>
      </c>
      <c r="J25" s="13" t="s">
        <v>35</v>
      </c>
    </row>
    <row r="26" customFormat="false" ht="15" hidden="false" customHeight="false" outlineLevel="0" collapsed="false">
      <c r="A26" s="14" t="n">
        <v>46319</v>
      </c>
      <c r="B26" s="15" t="s">
        <v>42</v>
      </c>
      <c r="C26" s="16" t="s">
        <v>53</v>
      </c>
      <c r="D26" s="15" t="s">
        <v>26</v>
      </c>
      <c r="E26" s="15" t="s">
        <v>38</v>
      </c>
      <c r="F26" s="17" t="n">
        <v>0.3125</v>
      </c>
      <c r="G26" s="17" t="n">
        <v>0.645833333333333</v>
      </c>
      <c r="H26" s="15" t="n">
        <v>1</v>
      </c>
      <c r="I26" s="12" t="n">
        <f aca="false">(G26-F26)*24*H26</f>
        <v>8</v>
      </c>
      <c r="J26" s="13" t="s">
        <v>35</v>
      </c>
    </row>
    <row r="27" customFormat="false" ht="15" hidden="false" customHeight="false" outlineLevel="0" collapsed="false">
      <c r="A27" s="14" t="n">
        <v>46319</v>
      </c>
      <c r="B27" s="15" t="s">
        <v>42</v>
      </c>
      <c r="C27" s="16" t="s">
        <v>54</v>
      </c>
      <c r="D27" s="15" t="s">
        <v>26</v>
      </c>
      <c r="E27" s="15" t="s">
        <v>38</v>
      </c>
      <c r="F27" s="17" t="n">
        <v>0.3125</v>
      </c>
      <c r="G27" s="17" t="n">
        <v>0.645833333333333</v>
      </c>
      <c r="H27" s="15" t="n">
        <v>1</v>
      </c>
      <c r="I27" s="12" t="n">
        <f aca="false">(G27-F27)*24*H27</f>
        <v>8</v>
      </c>
      <c r="J27" s="13" t="s">
        <v>35</v>
      </c>
    </row>
    <row r="28" customFormat="false" ht="15" hidden="false" customHeight="false" outlineLevel="0" collapsed="false">
      <c r="A28" s="14" t="n">
        <v>46319</v>
      </c>
      <c r="B28" s="15" t="s">
        <v>42</v>
      </c>
      <c r="C28" s="16" t="s">
        <v>55</v>
      </c>
      <c r="D28" s="15" t="s">
        <v>23</v>
      </c>
      <c r="E28" s="15" t="s">
        <v>41</v>
      </c>
      <c r="F28" s="17" t="n">
        <v>0.3125</v>
      </c>
      <c r="G28" s="17" t="n">
        <v>0.645833333333333</v>
      </c>
      <c r="H28" s="15" t="n">
        <v>1</v>
      </c>
      <c r="I28" s="12" t="n">
        <f aca="false">(G28-F28)*24*H28</f>
        <v>8</v>
      </c>
      <c r="J28" s="13" t="s">
        <v>35</v>
      </c>
    </row>
    <row r="29" customFormat="false" ht="15" hidden="false" customHeight="false" outlineLevel="0" collapsed="false">
      <c r="A29" s="14" t="n">
        <v>46319</v>
      </c>
      <c r="B29" s="15" t="s">
        <v>42</v>
      </c>
      <c r="C29" s="16" t="s">
        <v>56</v>
      </c>
      <c r="D29" s="15" t="s">
        <v>23</v>
      </c>
      <c r="E29" s="15" t="s">
        <v>41</v>
      </c>
      <c r="F29" s="17" t="n">
        <v>0.3125</v>
      </c>
      <c r="G29" s="17" t="n">
        <v>0.645833333333333</v>
      </c>
      <c r="H29" s="15" t="n">
        <v>1</v>
      </c>
      <c r="I29" s="12" t="n">
        <f aca="false">(G29-F29)*24*H29</f>
        <v>8</v>
      </c>
      <c r="J29" s="13" t="s">
        <v>35</v>
      </c>
    </row>
    <row r="30" customFormat="false" ht="15" hidden="false" customHeight="false" outlineLevel="0" collapsed="false">
      <c r="A30" s="14" t="n">
        <v>46319</v>
      </c>
      <c r="B30" s="15" t="s">
        <v>27</v>
      </c>
      <c r="C30" s="16" t="s">
        <v>57</v>
      </c>
      <c r="D30" s="15" t="s">
        <v>23</v>
      </c>
      <c r="E30" s="15" t="s">
        <v>24</v>
      </c>
      <c r="F30" s="17" t="n">
        <v>0.3125</v>
      </c>
      <c r="G30" s="17" t="n">
        <v>0.5</v>
      </c>
      <c r="H30" s="15" t="n">
        <v>2</v>
      </c>
      <c r="I30" s="12" t="n">
        <f aca="false">(G30-F30)*24*H30</f>
        <v>9</v>
      </c>
      <c r="J30" s="13" t="s">
        <v>35</v>
      </c>
    </row>
    <row r="31" customFormat="false" ht="15" hidden="false" customHeight="false" outlineLevel="0" collapsed="false">
      <c r="A31" s="14" t="n">
        <v>46319</v>
      </c>
      <c r="B31" s="15" t="s">
        <v>27</v>
      </c>
      <c r="C31" s="16" t="s">
        <v>57</v>
      </c>
      <c r="D31" s="15" t="s">
        <v>30</v>
      </c>
      <c r="E31" s="15" t="s">
        <v>24</v>
      </c>
      <c r="F31" s="17" t="n">
        <v>0.3125</v>
      </c>
      <c r="G31" s="17" t="n">
        <v>0.5</v>
      </c>
      <c r="H31" s="15" t="n">
        <v>1</v>
      </c>
      <c r="I31" s="12" t="n">
        <f aca="false">(G31-F31)*24*H31</f>
        <v>4.5</v>
      </c>
      <c r="J31" s="13" t="s">
        <v>35</v>
      </c>
    </row>
    <row r="32" customFormat="false" ht="15" hidden="false" customHeight="false" outlineLevel="0" collapsed="false">
      <c r="A32" s="14" t="n">
        <v>46319</v>
      </c>
      <c r="B32" s="15" t="s">
        <v>27</v>
      </c>
      <c r="C32" s="16" t="s">
        <v>58</v>
      </c>
      <c r="D32" s="15" t="s">
        <v>23</v>
      </c>
      <c r="E32" s="15" t="s">
        <v>24</v>
      </c>
      <c r="F32" s="17" t="n">
        <v>0.3125</v>
      </c>
      <c r="G32" s="17" t="n">
        <v>0.5</v>
      </c>
      <c r="H32" s="15" t="n">
        <v>2</v>
      </c>
      <c r="I32" s="12" t="n">
        <f aca="false">(G32-F32)*24*H32</f>
        <v>9</v>
      </c>
      <c r="J32" s="13" t="s">
        <v>35</v>
      </c>
    </row>
    <row r="33" customFormat="false" ht="15" hidden="false" customHeight="false" outlineLevel="0" collapsed="false">
      <c r="A33" s="14" t="n">
        <v>46319</v>
      </c>
      <c r="B33" s="15" t="s">
        <v>27</v>
      </c>
      <c r="C33" s="16" t="s">
        <v>58</v>
      </c>
      <c r="D33" s="15" t="s">
        <v>30</v>
      </c>
      <c r="E33" s="15" t="s">
        <v>24</v>
      </c>
      <c r="F33" s="17" t="n">
        <v>0.3125</v>
      </c>
      <c r="G33" s="17" t="n">
        <v>0.5</v>
      </c>
      <c r="H33" s="15" t="n">
        <v>4</v>
      </c>
      <c r="I33" s="12" t="n">
        <f aca="false">(G33-F33)*24*H33</f>
        <v>18</v>
      </c>
      <c r="J33" s="13" t="s">
        <v>35</v>
      </c>
    </row>
    <row r="34" customFormat="false" ht="15" hidden="false" customHeight="false" outlineLevel="0" collapsed="false">
      <c r="A34" s="14" t="n">
        <v>46319</v>
      </c>
      <c r="B34" s="15" t="s">
        <v>27</v>
      </c>
      <c r="C34" s="16" t="s">
        <v>58</v>
      </c>
      <c r="D34" s="15" t="s">
        <v>26</v>
      </c>
      <c r="E34" s="15" t="s">
        <v>24</v>
      </c>
      <c r="F34" s="17" t="n">
        <v>0.3125</v>
      </c>
      <c r="G34" s="17" t="n">
        <v>0.5</v>
      </c>
      <c r="H34" s="15" t="n">
        <v>1</v>
      </c>
      <c r="I34" s="12" t="n">
        <f aca="false">(G34-F34)*24*H34</f>
        <v>4.5</v>
      </c>
      <c r="J34" s="13" t="s">
        <v>35</v>
      </c>
    </row>
    <row r="35" customFormat="false" ht="15" hidden="false" customHeight="false" outlineLevel="0" collapsed="false">
      <c r="A35" s="14" t="n">
        <v>46319</v>
      </c>
      <c r="B35" s="15" t="s">
        <v>27</v>
      </c>
      <c r="C35" s="16" t="s">
        <v>59</v>
      </c>
      <c r="D35" s="15" t="s">
        <v>23</v>
      </c>
      <c r="E35" s="15" t="s">
        <v>24</v>
      </c>
      <c r="F35" s="17" t="n">
        <v>0.3125</v>
      </c>
      <c r="G35" s="17" t="n">
        <v>0.5</v>
      </c>
      <c r="H35" s="15" t="n">
        <v>1</v>
      </c>
      <c r="I35" s="12" t="n">
        <f aca="false">(G35-F35)*24*H35</f>
        <v>4.5</v>
      </c>
      <c r="J35" s="13" t="s">
        <v>35</v>
      </c>
    </row>
    <row r="36" customFormat="false" ht="15" hidden="false" customHeight="false" outlineLevel="0" collapsed="false">
      <c r="A36" s="14" t="n">
        <v>46319</v>
      </c>
      <c r="B36" s="15" t="s">
        <v>27</v>
      </c>
      <c r="C36" s="16" t="s">
        <v>60</v>
      </c>
      <c r="D36" s="15" t="s">
        <v>23</v>
      </c>
      <c r="E36" s="15" t="s">
        <v>24</v>
      </c>
      <c r="F36" s="17" t="n">
        <v>0.3125</v>
      </c>
      <c r="G36" s="17" t="n">
        <v>0.5</v>
      </c>
      <c r="H36" s="15" t="n">
        <v>4</v>
      </c>
      <c r="I36" s="12" t="n">
        <f aca="false">(G36-F36)*24*H36</f>
        <v>18</v>
      </c>
      <c r="J36" s="13" t="s">
        <v>35</v>
      </c>
    </row>
    <row r="37" customFormat="false" ht="15" hidden="false" customHeight="false" outlineLevel="0" collapsed="false">
      <c r="A37" s="14" t="n">
        <v>46319</v>
      </c>
      <c r="B37" s="15" t="s">
        <v>27</v>
      </c>
      <c r="C37" s="16" t="s">
        <v>61</v>
      </c>
      <c r="D37" s="15" t="s">
        <v>23</v>
      </c>
      <c r="E37" s="15" t="s">
        <v>24</v>
      </c>
      <c r="F37" s="17" t="n">
        <v>0.3125</v>
      </c>
      <c r="G37" s="17" t="n">
        <v>0.5</v>
      </c>
      <c r="H37" s="15" t="n">
        <v>1</v>
      </c>
      <c r="I37" s="12" t="n">
        <f aca="false">(G37-F37)*24*H37</f>
        <v>4.5</v>
      </c>
      <c r="J37" s="13" t="s">
        <v>35</v>
      </c>
    </row>
    <row r="38" customFormat="false" ht="15" hidden="false" customHeight="false" outlineLevel="0" collapsed="false">
      <c r="A38" s="14" t="n">
        <v>46319</v>
      </c>
      <c r="B38" s="15" t="s">
        <v>27</v>
      </c>
      <c r="C38" s="16" t="s">
        <v>28</v>
      </c>
      <c r="D38" s="15" t="s">
        <v>23</v>
      </c>
      <c r="E38" s="15" t="s">
        <v>24</v>
      </c>
      <c r="F38" s="17" t="n">
        <v>0.3125</v>
      </c>
      <c r="G38" s="17" t="n">
        <v>0.5</v>
      </c>
      <c r="H38" s="15" t="n">
        <v>2</v>
      </c>
      <c r="I38" s="12" t="n">
        <f aca="false">(G38-F38)*24*H38</f>
        <v>9</v>
      </c>
      <c r="J38" s="13" t="s">
        <v>35</v>
      </c>
    </row>
    <row r="39" customFormat="false" ht="15" hidden="false" customHeight="false" outlineLevel="0" collapsed="false">
      <c r="A39" s="14" t="n">
        <v>46319</v>
      </c>
      <c r="B39" s="15" t="s">
        <v>27</v>
      </c>
      <c r="C39" s="16" t="s">
        <v>28</v>
      </c>
      <c r="D39" s="15" t="s">
        <v>26</v>
      </c>
      <c r="E39" s="15" t="s">
        <v>24</v>
      </c>
      <c r="F39" s="17" t="n">
        <v>0.3125</v>
      </c>
      <c r="G39" s="17" t="n">
        <v>0.5</v>
      </c>
      <c r="H39" s="15" t="n">
        <v>1</v>
      </c>
      <c r="I39" s="12" t="n">
        <f aca="false">(G39-F39)*24*H39</f>
        <v>4.5</v>
      </c>
      <c r="J39" s="13" t="s">
        <v>35</v>
      </c>
    </row>
    <row r="40" customFormat="false" ht="15" hidden="false" customHeight="false" outlineLevel="0" collapsed="false">
      <c r="A40" s="14" t="n">
        <v>46319</v>
      </c>
      <c r="B40" s="15" t="s">
        <v>27</v>
      </c>
      <c r="C40" s="16" t="s">
        <v>62</v>
      </c>
      <c r="D40" s="15" t="s">
        <v>23</v>
      </c>
      <c r="E40" s="15" t="s">
        <v>24</v>
      </c>
      <c r="F40" s="17" t="n">
        <v>0.3125</v>
      </c>
      <c r="G40" s="17" t="n">
        <v>0.5</v>
      </c>
      <c r="H40" s="15" t="n">
        <v>4</v>
      </c>
      <c r="I40" s="12" t="n">
        <f aca="false">(G40-F40)*24*H40</f>
        <v>18</v>
      </c>
      <c r="J40" s="13" t="s">
        <v>35</v>
      </c>
    </row>
    <row r="41" customFormat="false" ht="15" hidden="false" customHeight="false" outlineLevel="0" collapsed="false">
      <c r="A41" s="14" t="n">
        <v>46319</v>
      </c>
      <c r="B41" s="15" t="s">
        <v>27</v>
      </c>
      <c r="C41" s="16" t="s">
        <v>62</v>
      </c>
      <c r="D41" s="15" t="s">
        <v>26</v>
      </c>
      <c r="E41" s="15" t="s">
        <v>24</v>
      </c>
      <c r="F41" s="17" t="n">
        <v>0.3125</v>
      </c>
      <c r="G41" s="17" t="n">
        <v>0.5</v>
      </c>
      <c r="H41" s="15" t="n">
        <v>2</v>
      </c>
      <c r="I41" s="12" t="n">
        <f aca="false">(G41-F41)*24*H41</f>
        <v>9</v>
      </c>
      <c r="J41" s="13" t="s">
        <v>35</v>
      </c>
    </row>
    <row r="42" customFormat="false" ht="15" hidden="false" customHeight="false" outlineLevel="0" collapsed="false">
      <c r="A42" s="14" t="n">
        <v>46319</v>
      </c>
      <c r="B42" s="15" t="s">
        <v>27</v>
      </c>
      <c r="C42" s="16" t="s">
        <v>63</v>
      </c>
      <c r="D42" s="15" t="s">
        <v>30</v>
      </c>
      <c r="E42" s="15" t="s">
        <v>24</v>
      </c>
      <c r="F42" s="17" t="n">
        <v>0.3125</v>
      </c>
      <c r="G42" s="17" t="n">
        <v>0.5</v>
      </c>
      <c r="H42" s="15" t="n">
        <v>1</v>
      </c>
      <c r="I42" s="12" t="n">
        <f aca="false">(G42-F42)*24*H42</f>
        <v>4.5</v>
      </c>
      <c r="J42" s="13" t="s">
        <v>35</v>
      </c>
    </row>
    <row r="43" customFormat="false" ht="15" hidden="false" customHeight="false" outlineLevel="0" collapsed="false">
      <c r="A43" s="14" t="n">
        <v>46319</v>
      </c>
      <c r="B43" s="15" t="s">
        <v>27</v>
      </c>
      <c r="C43" s="16" t="s">
        <v>63</v>
      </c>
      <c r="D43" s="15" t="s">
        <v>26</v>
      </c>
      <c r="E43" s="15" t="s">
        <v>24</v>
      </c>
      <c r="F43" s="17" t="n">
        <v>0.3125</v>
      </c>
      <c r="G43" s="17" t="n">
        <v>0.5</v>
      </c>
      <c r="H43" s="15" t="n">
        <v>2</v>
      </c>
      <c r="I43" s="12" t="n">
        <f aca="false">(G43-F43)*24*H43</f>
        <v>9</v>
      </c>
      <c r="J43" s="13" t="s">
        <v>35</v>
      </c>
    </row>
    <row r="44" customFormat="false" ht="15" hidden="false" customHeight="false" outlineLevel="0" collapsed="false">
      <c r="A44" s="14" t="n">
        <v>46319</v>
      </c>
      <c r="B44" s="15" t="s">
        <v>27</v>
      </c>
      <c r="C44" s="16" t="s">
        <v>63</v>
      </c>
      <c r="D44" s="15" t="s">
        <v>23</v>
      </c>
      <c r="E44" s="15" t="s">
        <v>24</v>
      </c>
      <c r="F44" s="17" t="n">
        <v>0.3125</v>
      </c>
      <c r="G44" s="17" t="n">
        <v>0.5</v>
      </c>
      <c r="H44" s="15" t="n">
        <v>2</v>
      </c>
      <c r="I44" s="12" t="n">
        <f aca="false">(G44-F44)*24*H44</f>
        <v>9</v>
      </c>
      <c r="J44" s="13" t="s">
        <v>35</v>
      </c>
    </row>
    <row r="45" customFormat="false" ht="15" hidden="false" customHeight="false" outlineLevel="0" collapsed="false">
      <c r="A45" s="14" t="n">
        <v>46319</v>
      </c>
      <c r="B45" s="15" t="s">
        <v>27</v>
      </c>
      <c r="C45" s="16" t="s">
        <v>64</v>
      </c>
      <c r="D45" s="15" t="s">
        <v>30</v>
      </c>
      <c r="E45" s="15" t="s">
        <v>24</v>
      </c>
      <c r="F45" s="17" t="n">
        <v>0.3125</v>
      </c>
      <c r="G45" s="17" t="n">
        <v>0.5</v>
      </c>
      <c r="H45" s="15" t="n">
        <v>3</v>
      </c>
      <c r="I45" s="12" t="n">
        <f aca="false">(G45-F45)*24*H45</f>
        <v>13.5</v>
      </c>
      <c r="J45" s="13" t="s">
        <v>35</v>
      </c>
    </row>
    <row r="46" customFormat="false" ht="15" hidden="false" customHeight="false" outlineLevel="0" collapsed="false">
      <c r="A46" s="14" t="n">
        <v>46319</v>
      </c>
      <c r="B46" s="15" t="s">
        <v>27</v>
      </c>
      <c r="C46" s="16" t="s">
        <v>64</v>
      </c>
      <c r="D46" s="15" t="s">
        <v>26</v>
      </c>
      <c r="E46" s="15" t="s">
        <v>24</v>
      </c>
      <c r="F46" s="17" t="n">
        <v>0.3125</v>
      </c>
      <c r="G46" s="17" t="n">
        <v>0.5</v>
      </c>
      <c r="H46" s="15" t="n">
        <v>1</v>
      </c>
      <c r="I46" s="12" t="n">
        <f aca="false">(G46-F46)*24*H46</f>
        <v>4.5</v>
      </c>
      <c r="J46" s="13" t="s">
        <v>35</v>
      </c>
    </row>
    <row r="47" customFormat="false" ht="15" hidden="false" customHeight="false" outlineLevel="0" collapsed="false">
      <c r="A47" s="14" t="n">
        <v>46319</v>
      </c>
      <c r="B47" s="15" t="s">
        <v>27</v>
      </c>
      <c r="C47" s="16" t="s">
        <v>64</v>
      </c>
      <c r="D47" s="15" t="s">
        <v>23</v>
      </c>
      <c r="E47" s="15" t="s">
        <v>24</v>
      </c>
      <c r="F47" s="17" t="n">
        <v>0.3125</v>
      </c>
      <c r="G47" s="17" t="n">
        <v>0.5</v>
      </c>
      <c r="H47" s="15" t="n">
        <v>2</v>
      </c>
      <c r="I47" s="12" t="n">
        <f aca="false">(G47-F47)*24*H47</f>
        <v>9</v>
      </c>
      <c r="J47" s="13" t="s">
        <v>35</v>
      </c>
    </row>
    <row r="48" customFormat="false" ht="15" hidden="false" customHeight="false" outlineLevel="0" collapsed="false">
      <c r="H48" s="18" t="s">
        <v>65</v>
      </c>
      <c r="I48" s="19" t="n">
        <f aca="false">SUM(I4:I47)</f>
        <v>405.5</v>
      </c>
    </row>
    <row r="50" customFormat="false" ht="15" hidden="false" customHeight="false" outlineLevel="0" collapsed="false">
      <c r="A50" s="6" t="s">
        <v>66</v>
      </c>
    </row>
  </sheetData>
  <autoFilter ref="A3:J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52"/>
    <col collapsed="false" customWidth="true" hidden="false" outlineLevel="0" max="6" min="4" style="0" width="16"/>
    <col collapsed="false" customWidth="true" hidden="false" outlineLevel="0" max="7" min="7" style="0" width="44"/>
    <col collapsed="false" customWidth="true" hidden="false" outlineLevel="0" max="8" min="8" style="0" width="12"/>
  </cols>
  <sheetData>
    <row r="1" customFormat="false" ht="16.15" hidden="false" customHeight="false" outlineLevel="0" collapsed="false">
      <c r="A1" s="1" t="s">
        <v>67</v>
      </c>
    </row>
    <row r="3" customFormat="false" ht="25.35" hidden="false" customHeight="false" outlineLevel="0" collapsed="false">
      <c r="A3" s="2" t="s">
        <v>1</v>
      </c>
      <c r="B3" s="2" t="s">
        <v>68</v>
      </c>
      <c r="C3" s="2" t="s">
        <v>69</v>
      </c>
      <c r="D3" s="2" t="s">
        <v>70</v>
      </c>
      <c r="E3" s="2" t="s">
        <v>71</v>
      </c>
      <c r="F3" s="2" t="s">
        <v>72</v>
      </c>
      <c r="G3" s="2" t="s">
        <v>73</v>
      </c>
      <c r="H3" s="2" t="s">
        <v>74</v>
      </c>
    </row>
    <row r="4" customFormat="false" ht="25.35" hidden="false" customHeight="false" outlineLevel="0" collapsed="false">
      <c r="A4" s="20" t="n">
        <v>46315</v>
      </c>
      <c r="B4" s="21" t="s">
        <v>32</v>
      </c>
      <c r="C4" s="22" t="s">
        <v>75</v>
      </c>
      <c r="D4" s="21" t="s">
        <v>15</v>
      </c>
      <c r="E4" s="21" t="s">
        <v>38</v>
      </c>
      <c r="F4" s="21" t="s">
        <v>41</v>
      </c>
      <c r="G4" s="22" t="s">
        <v>76</v>
      </c>
      <c r="H4" s="21" t="n">
        <v>0</v>
      </c>
    </row>
    <row r="5" customFormat="false" ht="25.35" hidden="false" customHeight="false" outlineLevel="0" collapsed="false">
      <c r="A5" s="20" t="n">
        <v>46316</v>
      </c>
      <c r="B5" s="21" t="s">
        <v>21</v>
      </c>
      <c r="C5" s="22" t="s">
        <v>77</v>
      </c>
      <c r="D5" s="21" t="s">
        <v>18</v>
      </c>
      <c r="E5" s="21" t="s">
        <v>78</v>
      </c>
      <c r="F5" s="21" t="s">
        <v>79</v>
      </c>
      <c r="G5" s="22" t="s">
        <v>80</v>
      </c>
      <c r="H5" s="21" t="n">
        <v>8</v>
      </c>
    </row>
    <row r="6" customFormat="false" ht="15" hidden="false" customHeight="false" outlineLevel="0" collapsed="false">
      <c r="A6" s="20" t="n">
        <v>46316</v>
      </c>
      <c r="B6" s="21" t="s">
        <v>32</v>
      </c>
      <c r="C6" s="22" t="s">
        <v>81</v>
      </c>
      <c r="D6" s="21" t="s">
        <v>14</v>
      </c>
      <c r="E6" s="21" t="s">
        <v>30</v>
      </c>
      <c r="F6" s="21" t="s">
        <v>26</v>
      </c>
      <c r="G6" s="22" t="s">
        <v>82</v>
      </c>
      <c r="H6" s="21" t="n">
        <v>0</v>
      </c>
    </row>
    <row r="7" customFormat="false" ht="15" hidden="false" customHeight="false" outlineLevel="0" collapsed="false">
      <c r="A7" s="20" t="n">
        <v>46316</v>
      </c>
      <c r="B7" s="21" t="s">
        <v>32</v>
      </c>
      <c r="C7" s="22" t="s">
        <v>83</v>
      </c>
      <c r="D7" s="21" t="s">
        <v>14</v>
      </c>
      <c r="E7" s="21" t="s">
        <v>30</v>
      </c>
      <c r="F7" s="21" t="s">
        <v>26</v>
      </c>
      <c r="G7" s="22" t="s">
        <v>82</v>
      </c>
      <c r="H7" s="21" t="n">
        <v>0</v>
      </c>
    </row>
    <row r="8" customFormat="false" ht="25.35" hidden="false" customHeight="false" outlineLevel="0" collapsed="false">
      <c r="A8" s="20" t="n">
        <v>46318</v>
      </c>
      <c r="B8" s="21" t="s">
        <v>42</v>
      </c>
      <c r="C8" s="22" t="s">
        <v>84</v>
      </c>
      <c r="D8" s="21" t="s">
        <v>15</v>
      </c>
      <c r="E8" s="21" t="s">
        <v>34</v>
      </c>
      <c r="F8" s="21" t="s">
        <v>38</v>
      </c>
      <c r="G8" s="22" t="s">
        <v>85</v>
      </c>
      <c r="H8" s="21" t="n">
        <v>0</v>
      </c>
    </row>
    <row r="9" customFormat="false" ht="15" hidden="false" customHeight="false" outlineLevel="0" collapsed="false">
      <c r="A9" s="23" t="n">
        <v>46300</v>
      </c>
      <c r="B9" s="24" t="s">
        <v>21</v>
      </c>
      <c r="C9" s="25" t="s">
        <v>86</v>
      </c>
      <c r="D9" s="24" t="s">
        <v>17</v>
      </c>
      <c r="E9" s="24" t="s">
        <v>87</v>
      </c>
      <c r="F9" s="24" t="s">
        <v>88</v>
      </c>
      <c r="G9" s="25" t="s">
        <v>89</v>
      </c>
      <c r="H9" s="24" t="n">
        <v>-3</v>
      </c>
    </row>
    <row r="11" customFormat="false" ht="15" hidden="false" customHeight="false" outlineLevel="0" collapsed="false">
      <c r="A11" s="6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60"/>
    <col collapsed="false" customWidth="true" hidden="false" outlineLevel="0" max="5" min="4" style="0" width="14"/>
    <col collapsed="false" customWidth="true" hidden="false" outlineLevel="0" max="6" min="6" style="0" width="40"/>
  </cols>
  <sheetData>
    <row r="1" customFormat="false" ht="16.15" hidden="false" customHeight="false" outlineLevel="0" collapsed="false">
      <c r="A1" s="1" t="s">
        <v>91</v>
      </c>
    </row>
    <row r="3" customFormat="false" ht="25.35" hidden="false" customHeight="false" outlineLevel="0" collapsed="false">
      <c r="A3" s="2" t="s">
        <v>1</v>
      </c>
      <c r="B3" s="2" t="s">
        <v>68</v>
      </c>
      <c r="C3" s="2" t="s">
        <v>92</v>
      </c>
      <c r="D3" s="2" t="s">
        <v>93</v>
      </c>
      <c r="E3" s="2" t="s">
        <v>94</v>
      </c>
      <c r="F3" s="2" t="s">
        <v>73</v>
      </c>
    </row>
    <row r="4" customFormat="false" ht="25.35" hidden="false" customHeight="false" outlineLevel="0" collapsed="false">
      <c r="A4" s="26" t="n">
        <v>46316</v>
      </c>
      <c r="B4" s="27" t="s">
        <v>27</v>
      </c>
      <c r="C4" s="22" t="s">
        <v>95</v>
      </c>
      <c r="D4" s="27" t="n">
        <v>1</v>
      </c>
      <c r="E4" s="27" t="n">
        <v>27</v>
      </c>
      <c r="F4" s="22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0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8" min="7" style="0" width="8"/>
    <col collapsed="false" customWidth="true" hidden="false" outlineLevel="0" max="10" min="9" style="0" width="10"/>
    <col collapsed="false" customWidth="true" hidden="false" outlineLevel="0" max="11" min="11" style="0" width="60"/>
  </cols>
  <sheetData>
    <row r="1" customFormat="false" ht="16.15" hidden="false" customHeight="false" outlineLevel="0" collapsed="false">
      <c r="A1" s="1" t="s">
        <v>97</v>
      </c>
    </row>
    <row r="3" customFormat="false" ht="25.35" hidden="false" customHeight="false" outlineLevel="0" collapsed="false">
      <c r="A3" s="2" t="s">
        <v>98</v>
      </c>
      <c r="B3" s="2" t="s">
        <v>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99</v>
      </c>
      <c r="K3" s="2" t="s">
        <v>100</v>
      </c>
    </row>
    <row r="4" customFormat="false" ht="15" hidden="false" customHeight="false" outlineLevel="0" collapsed="false">
      <c r="A4" s="28" t="s">
        <v>101</v>
      </c>
      <c r="B4" s="20" t="n">
        <v>46314</v>
      </c>
      <c r="C4" s="21" t="s">
        <v>102</v>
      </c>
      <c r="D4" s="22" t="s">
        <v>103</v>
      </c>
      <c r="E4" s="21" t="s">
        <v>30</v>
      </c>
      <c r="F4" s="21" t="s">
        <v>104</v>
      </c>
      <c r="G4" s="29" t="n">
        <v>0.3125</v>
      </c>
      <c r="H4" s="29" t="n">
        <v>0.645833333333333</v>
      </c>
      <c r="I4" s="21" t="n">
        <v>12</v>
      </c>
      <c r="J4" s="30" t="n">
        <f aca="false">IF(OR(G4="",H4=""),"",(H4-G4)*24*I4)</f>
        <v>96</v>
      </c>
      <c r="K4" s="22" t="s">
        <v>105</v>
      </c>
    </row>
    <row r="5" customFormat="false" ht="15" hidden="false" customHeight="false" outlineLevel="0" collapsed="false">
      <c r="A5" s="28" t="s">
        <v>101</v>
      </c>
      <c r="B5" s="20" t="n">
        <v>46314</v>
      </c>
      <c r="C5" s="21" t="s">
        <v>102</v>
      </c>
      <c r="D5" s="22" t="s">
        <v>103</v>
      </c>
      <c r="E5" s="21" t="s">
        <v>30</v>
      </c>
      <c r="F5" s="21" t="s">
        <v>104</v>
      </c>
      <c r="G5" s="29" t="n">
        <v>0.645833333333333</v>
      </c>
      <c r="H5" s="29" t="n">
        <v>0.8125</v>
      </c>
      <c r="I5" s="21" t="n">
        <v>10</v>
      </c>
      <c r="J5" s="30" t="n">
        <f aca="false">IF(OR(G5="",H5=""),"",(H5-G5)*24*I5)</f>
        <v>40</v>
      </c>
      <c r="K5" s="22" t="s">
        <v>106</v>
      </c>
    </row>
    <row r="6" customFormat="false" ht="15" hidden="false" customHeight="false" outlineLevel="0" collapsed="false">
      <c r="A6" s="28" t="s">
        <v>101</v>
      </c>
      <c r="B6" s="20" t="n">
        <v>46315</v>
      </c>
      <c r="C6" s="21" t="s">
        <v>102</v>
      </c>
      <c r="D6" s="22" t="s">
        <v>103</v>
      </c>
      <c r="E6" s="21" t="s">
        <v>30</v>
      </c>
      <c r="F6" s="21" t="s">
        <v>104</v>
      </c>
      <c r="G6" s="29" t="n">
        <v>0.3125</v>
      </c>
      <c r="H6" s="29" t="n">
        <v>0.645833333333333</v>
      </c>
      <c r="I6" s="21" t="n">
        <v>12</v>
      </c>
      <c r="J6" s="30" t="n">
        <f aca="false">IF(OR(G6="",H6=""),"",(H6-G6)*24*I6)</f>
        <v>96</v>
      </c>
      <c r="K6" s="22" t="s">
        <v>107</v>
      </c>
    </row>
    <row r="7" customFormat="false" ht="15" hidden="false" customHeight="false" outlineLevel="0" collapsed="false">
      <c r="A7" s="28" t="s">
        <v>101</v>
      </c>
      <c r="B7" s="20" t="n">
        <v>46315</v>
      </c>
      <c r="C7" s="21" t="s">
        <v>102</v>
      </c>
      <c r="D7" s="22" t="s">
        <v>103</v>
      </c>
      <c r="E7" s="21" t="s">
        <v>30</v>
      </c>
      <c r="F7" s="21" t="s">
        <v>104</v>
      </c>
      <c r="G7" s="29" t="n">
        <v>0.645833333333333</v>
      </c>
      <c r="H7" s="29" t="n">
        <v>0.8125</v>
      </c>
      <c r="I7" s="21" t="n">
        <v>10</v>
      </c>
      <c r="J7" s="30" t="n">
        <f aca="false">IF(OR(G7="",H7=""),"",(H7-G7)*24*I7)</f>
        <v>40</v>
      </c>
      <c r="K7" s="22" t="s">
        <v>108</v>
      </c>
    </row>
    <row r="8" customFormat="false" ht="15" hidden="false" customHeight="false" outlineLevel="0" collapsed="false">
      <c r="A8" s="28" t="s">
        <v>101</v>
      </c>
      <c r="B8" s="20" t="n">
        <v>46316</v>
      </c>
      <c r="C8" s="21" t="s">
        <v>102</v>
      </c>
      <c r="D8" s="22" t="s">
        <v>103</v>
      </c>
      <c r="E8" s="21" t="s">
        <v>30</v>
      </c>
      <c r="F8" s="21" t="s">
        <v>104</v>
      </c>
      <c r="G8" s="29" t="n">
        <v>0.3125</v>
      </c>
      <c r="H8" s="29" t="n">
        <v>0.645833333333333</v>
      </c>
      <c r="I8" s="21" t="n">
        <v>12</v>
      </c>
      <c r="J8" s="30" t="n">
        <f aca="false">IF(OR(G8="",H8=""),"",(H8-G8)*24*I8)</f>
        <v>96</v>
      </c>
      <c r="K8" s="22" t="s">
        <v>109</v>
      </c>
    </row>
    <row r="9" customFormat="false" ht="25.35" hidden="false" customHeight="false" outlineLevel="0" collapsed="false">
      <c r="A9" s="31" t="s">
        <v>110</v>
      </c>
      <c r="B9" s="20" t="n">
        <v>46319</v>
      </c>
      <c r="C9" s="21" t="s">
        <v>102</v>
      </c>
      <c r="D9" s="22" t="s">
        <v>103</v>
      </c>
      <c r="E9" s="21" t="s">
        <v>30</v>
      </c>
      <c r="F9" s="21" t="s">
        <v>104</v>
      </c>
      <c r="G9" s="29" t="n">
        <v>0.3125</v>
      </c>
      <c r="H9" s="29" t="n">
        <v>0.645833333333333</v>
      </c>
      <c r="I9" s="21" t="n">
        <v>12</v>
      </c>
      <c r="J9" s="30" t="n">
        <f aca="false">IF(OR(G9="",H9=""),"",(H9-G9)*24*I9)</f>
        <v>96</v>
      </c>
      <c r="K9" s="22" t="s">
        <v>111</v>
      </c>
    </row>
    <row r="10" customFormat="false" ht="25.35" hidden="false" customHeight="false" outlineLevel="0" collapsed="false">
      <c r="A10" s="32" t="s">
        <v>112</v>
      </c>
      <c r="B10" s="20" t="n">
        <v>46313</v>
      </c>
      <c r="C10" s="21" t="s">
        <v>102</v>
      </c>
      <c r="D10" s="22" t="s">
        <v>113</v>
      </c>
      <c r="E10" s="21" t="s">
        <v>30</v>
      </c>
      <c r="F10" s="21" t="s">
        <v>38</v>
      </c>
      <c r="G10" s="29" t="n">
        <v>0.75</v>
      </c>
      <c r="H10" s="29" t="n">
        <v>0.751388888888889</v>
      </c>
      <c r="I10" s="21" t="n">
        <v>3</v>
      </c>
      <c r="J10" s="30" t="n">
        <f aca="false">IF(OR(G10="",H10=""),"",(H10-G10)*24*I10)</f>
        <v>0.1</v>
      </c>
      <c r="K10" s="22" t="s">
        <v>114</v>
      </c>
    </row>
    <row r="11" customFormat="false" ht="25.35" hidden="false" customHeight="false" outlineLevel="0" collapsed="false">
      <c r="A11" s="32" t="s">
        <v>112</v>
      </c>
      <c r="B11" s="20" t="n">
        <v>46313</v>
      </c>
      <c r="C11" s="21" t="s">
        <v>102</v>
      </c>
      <c r="D11" s="22" t="s">
        <v>115</v>
      </c>
      <c r="E11" s="21" t="s">
        <v>30</v>
      </c>
      <c r="F11" s="21" t="s">
        <v>38</v>
      </c>
      <c r="G11" s="29" t="n">
        <v>0.751388888888889</v>
      </c>
      <c r="H11" s="29" t="n">
        <v>0.752777777777778</v>
      </c>
      <c r="I11" s="21" t="n">
        <v>3</v>
      </c>
      <c r="J11" s="30" t="n">
        <f aca="false">IF(OR(G11="",H11=""),"",(H11-G11)*24*I11)</f>
        <v>0.1</v>
      </c>
      <c r="K11" s="22" t="s">
        <v>116</v>
      </c>
    </row>
    <row r="12" customFormat="false" ht="25.35" hidden="false" customHeight="false" outlineLevel="0" collapsed="false">
      <c r="A12" s="32" t="s">
        <v>112</v>
      </c>
      <c r="B12" s="20" t="n">
        <v>46313</v>
      </c>
      <c r="C12" s="21" t="s">
        <v>102</v>
      </c>
      <c r="D12" s="22" t="s">
        <v>117</v>
      </c>
      <c r="E12" s="21" t="s">
        <v>30</v>
      </c>
      <c r="F12" s="21" t="s">
        <v>38</v>
      </c>
      <c r="G12" s="29" t="n">
        <v>0.752777777777778</v>
      </c>
      <c r="H12" s="29" t="n">
        <v>0.754861111111111</v>
      </c>
      <c r="I12" s="21" t="n">
        <v>3</v>
      </c>
      <c r="J12" s="30" t="n">
        <f aca="false">IF(OR(G12="",H12=""),"",(H12-G12)*24*I12)</f>
        <v>0.15</v>
      </c>
      <c r="K12" s="22" t="s">
        <v>116</v>
      </c>
    </row>
    <row r="13" customFormat="false" ht="25.35" hidden="false" customHeight="false" outlineLevel="0" collapsed="false">
      <c r="A13" s="32" t="s">
        <v>118</v>
      </c>
      <c r="B13" s="20" t="n">
        <v>46315</v>
      </c>
      <c r="C13" s="21" t="s">
        <v>102</v>
      </c>
      <c r="D13" s="22" t="s">
        <v>119</v>
      </c>
      <c r="E13" s="21" t="s">
        <v>30</v>
      </c>
      <c r="F13" s="21" t="s">
        <v>120</v>
      </c>
      <c r="G13" s="29"/>
      <c r="H13" s="29"/>
      <c r="I13" s="21" t="n">
        <v>3</v>
      </c>
      <c r="J13" s="30" t="str">
        <f aca="false">IF(OR(G13="",H13=""),"",(H13-G13)*24*I13)</f>
        <v/>
      </c>
      <c r="K13" s="22" t="s">
        <v>121</v>
      </c>
    </row>
    <row r="14" customFormat="false" ht="15" hidden="false" customHeight="false" outlineLevel="0" collapsed="false">
      <c r="A14" s="32" t="s">
        <v>118</v>
      </c>
      <c r="B14" s="20" t="n">
        <v>46315</v>
      </c>
      <c r="C14" s="21" t="s">
        <v>102</v>
      </c>
      <c r="D14" s="22" t="s">
        <v>122</v>
      </c>
      <c r="E14" s="21" t="s">
        <v>30</v>
      </c>
      <c r="F14" s="21" t="s">
        <v>120</v>
      </c>
      <c r="G14" s="29"/>
      <c r="H14" s="29"/>
      <c r="I14" s="21" t="n">
        <v>3</v>
      </c>
      <c r="J14" s="30" t="str">
        <f aca="false">IF(OR(G14="",H14=""),"",(H14-G14)*24*I14)</f>
        <v/>
      </c>
      <c r="K14" s="22" t="s">
        <v>123</v>
      </c>
    </row>
    <row r="15" customFormat="false" ht="25.35" hidden="false" customHeight="false" outlineLevel="0" collapsed="false">
      <c r="A15" s="32" t="s">
        <v>118</v>
      </c>
      <c r="B15" s="20" t="n">
        <v>46315</v>
      </c>
      <c r="C15" s="21" t="s">
        <v>102</v>
      </c>
      <c r="D15" s="22" t="s">
        <v>124</v>
      </c>
      <c r="E15" s="21" t="s">
        <v>30</v>
      </c>
      <c r="F15" s="21" t="s">
        <v>120</v>
      </c>
      <c r="G15" s="29"/>
      <c r="H15" s="29"/>
      <c r="I15" s="21" t="n">
        <v>2</v>
      </c>
      <c r="J15" s="30" t="str">
        <f aca="false">IF(OR(G15="",H15=""),"",(H15-G15)*24*I15)</f>
        <v/>
      </c>
      <c r="K15" s="22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2026-10-26T08:21:17Z</dcterms:created>
  <dc:creator>openpyxl</dc:creator>
  <dc:description/>
  <dc:language>en-US</dc:language>
  <cp:lastModifiedBy/>
  <dcterms:modified xsi:type="dcterms:W3CDTF">2026-10-26T08:21:17Z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