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Tổng hợp" sheetId="16" state="visible" r:id="rId18"/>
    <sheet name="Nhân viên mới - A2" sheetId="17" state="visible" r:id="rId19"/>
    <sheet name="Lịch A2 nhân viên mới" sheetId="18" state="visible" r:id="rId20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<sst xmlns="http://schemas.openxmlformats.org/spreadsheetml/2006/main" count="4991" uniqueCount="331">
  <si>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</si>
  <si>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</si>
  <si>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</si>
  <si>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</si>
  <si>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</si>
  <si>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</si>
  <si>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</si>
  <si>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</si>
  <si>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</si>
  <si>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</si>
  <si>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</si>
  <si>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</si>
  <si>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</si>
  <si>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</si>
  <si>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</si>
  <si>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</si>
  <si>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</si>
  <si>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</si>
  <si>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</si>
  <si>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</si>
  <si>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</si>
  <si>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</si>
  <si>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</si>
  <si>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</si>
  <si>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</si>
  <si>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</si>
  <si>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</si>
  <si>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</si>
  <si>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</si>
  <si>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</si>
  <si>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</si>
  <si>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</si>
  <si>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</si>
  <si>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</si>
  <si>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</si>
  <si>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</si>
  <si>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</si>
  <si>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</si>
  <si>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</si>
  <si>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</si>
  <si>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</si>
  <si>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</si>
  <si>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</si>
  <si>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</si>
  <si>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</si>
  <si>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</si>
  <si>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</si>
  <si>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</si>
  <si>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</si>
  <si>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</si>
  <si>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</si>
  <si>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</si>
  <si>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</si>
  <si>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</si>
  <si>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</si>
  <si>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</si>
  <si>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</si>
  <si>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</si>
  <si>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</si>
  <si>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</si>
  <si>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</si>
  <si>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</si>
  <si>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</si>
  <si>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</si>
  <si>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</si>
  <si>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</si>
  <si>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</si>
  <si>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</si>
  <si>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</si>
  <si>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</si>
  <si>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</si>
  <si>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</si>
  <si>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</si>
  <si>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</si>
  <si>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</si>
  <si>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</si>
  <si>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</si>
  <si>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</si>
  <si>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</si>
  <si>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</si>
  <si>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</si>
  <si>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</si>
  <si>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</si>
  <si>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</si>
  <si>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</si>
  <si>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</si>
  <si>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</si>
  <si>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</si>
  <si>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</si>
  <si>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</si>
  <si>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</si>
  <si>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</si>
  <si>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</si>
  <si>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</si>
  <si>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</si>
  <si>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</si>
  <si>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</si>
  <si>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</si>
  <si>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</si>
  <si>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</si>
  <si>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</si>
  <si>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</si>
  <si>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</si>
  <si>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</si>
  <si>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</si>
  <si>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</si>
  <si>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</si>
  <si>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</si>
  <si>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</si>
  <si>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</si>
  <si>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</si>
  <si>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</si>
  <si>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</si>
  <si>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</si>
  <si>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</si>
  <si>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</si>
  <si>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</si>
  <si>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</si>
  <si>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</si>
  <si>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</si>
  <si>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</si>
  <si>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</si>
  <si>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</si>
  <si>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</si>
  <si>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</si>
  <si>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</si>
  <si>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</si>
  <si>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</si>
  <si>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</si>
  <si>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</si>
  <si>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</si>
  <si>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</si>
  <si>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</si>
  <si>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</si>
  <si>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</si>
  <si>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</si>
  <si>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</si>
  <si>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</si>
  <si>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</si>
  <si>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</si>
  <si>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</si>
  <si>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</si>
  <si>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</si>
  <si>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</si>
  <si>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</si>
  <si>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</si>
  <si>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</si>
  <si>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</si>
  <si>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</si>
  <si>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</si>
  <si>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</si>
  <si>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</si>
  <si>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</si>
  <si>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</si>
  <si>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</si>
  <si>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</si>
  <si>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</si>
  <si>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</si>
  <si>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</si>
  <si>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</si>
  <si>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</si>
  <si>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</si>
  <si>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</si>
  <si>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</si>
  <si>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</si>
  <si>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</si>
  <si>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</si>
  <si>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</si>
  <si>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</si>
  <si>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</si>
  <si>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</si>
  <si>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</si>
  <si>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</si>
  <si>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</si>
  <si>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</si>
  <si>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</si>
  <si>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</si>
  <si>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</si>
  <si>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</si>
  <si>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</si>
  <si>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</si>
  <si>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</si>
  <si>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</si>
  <si>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</si>
  <si>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</si>
  <si>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</si>
  <si>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</si>
  <si>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</si>
  <si>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</si>
  <si>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</si>
  <si>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</si>
  <si>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</si>
  <si>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</si>
  <si>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</si>
  <si>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</si>
  <si>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</si>
  <si>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</si>
  <si>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</si>
  <si>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</si>
  <si>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</si>
  <si>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</si>
  <si>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</si>
  <si>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</si>
  <si>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</si>
  <si>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</si>
  <si>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</si>
  <si>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</si>
  <si>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</si>
  <si>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</si>
  <si>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</si>
  <si>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</si>
  <si>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</si>
  <si>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</si>
  <si>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</si>
  <si>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</si>
  <si>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</si>
  <si>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</si>
  <si>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</si>
  <si>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</si>
  <si>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</si>
  <si>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</si>
  <si>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</si>
  <si>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</si>
  <si>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</si>
  <si>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</si>
  <si>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</si>
  <si>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</si>
  <si>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</si>
  <si>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</si>
  <si>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</si>
  <si>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</si>
  <si>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</si>
  <si>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</si>
  <si>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</si>
  <si>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</si>
  <si>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</si>
  <si>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</si>
  <si>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</si>
  <si>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</si>
  <si>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</si>
  <si>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</si>
  <si>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</si>
  <si>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</si>
  <si>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</si>
  <si>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</si>
  <si>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</si>
  <si>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</si>
  <si>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</si>
  <si>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</si>
  <si>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</si>
  <si>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</si>
  <si>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</si>
  <si>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</si>
  <si>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</si>
  <si>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</si>
  <si>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</si>
  <si>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</si>
  <si>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</si>
  <si>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</si>
  <si>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</si>
  <si>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</si>
  <si>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</si>
  <si>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</si>
  <si>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</si>
  <si>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</si>
  <si>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</si>
  <si>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</si>
  <si>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</si>
  <si>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</si>
  <si>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</si>
  <si>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</si>
  <si>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</si>
  <si>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</si>
  <si>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</si>
  <si>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</si>
  <si>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</si>
  <si>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</si>
  <si>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</si>
  <si>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</si>
  <si>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</si>
  <si>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</si>
  <si>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</si>
  <si>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</si>
  <si>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</si>
  <si>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Ngày cuối A2 (không tính CN)</t>
  </si>
  <si>
    <t xml:space="preserve">21/10</t>
  </si>
  <si>
    <t xml:space="preserve">-</t>
  </si>
  <si>
    <t xml:space="preserve">20/10</t>
  </si>
  <si>
    <t xml:space="preserve">A2 ngày 1</t>
  </si>
  <si>
    <t xml:space="preserve">19/10</t>
  </si>
  <si>
    <t xml:space="preserve">A2 ngày 2</t>
  </si>
  <si>
    <t xml:space="preserve">16/10</t>
  </si>
  <si>
    <t xml:space="preserve">A2 ngày 3</t>
  </si>
  <si>
    <t xml:space="preserve">A2 ngày 4</t>
  </si>
  <si>
    <t xml:space="preserve">15/10</t>
  </si>
  <si>
    <t xml:space="preserve">A2 ngày 5</t>
  </si>
  <si>
    <t xml:space="preserve">14/10</t>
  </si>
  <si>
    <t xml:space="preserve">A2 ngày 6</t>
  </si>
  <si>
    <t xml:space="preserve">13/10</t>
  </si>
  <si>
    <t xml:space="preserve">A2 ngày 7</t>
  </si>
  <si>
    <t xml:space="preserve">12/10</t>
  </si>
  <si>
    <t xml:space="preserve">A2 ngày 8</t>
  </si>
  <si>
    <t xml:space="preserve">09/10</t>
  </si>
  <si>
    <t xml:space="preserve">A2 ngày 9</t>
  </si>
  <si>
    <t xml:space="preserve">A2 ngày 10</t>
  </si>
  <si>
    <t xml:space="preserve">08/10</t>
  </si>
  <si>
    <t xml:space="preserve">A2 ngày 11</t>
  </si>
  <si>
    <t xml:space="preserve">07/10</t>
  </si>
  <si>
    <t xml:space="preserve">A2 ngày 12</t>
  </si>
  <si>
    <t xml:space="preserve">06/10</t>
  </si>
  <si>
    <t xml:space="preserve">Đã xong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</si>
  <si>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</si>
  <si>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</si>
  <si>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</si>
  <si>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</si>
  <si>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</si>
  <si>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</si>
  <si>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</si>
  <si>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</si>
  <si>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</si>
  <si>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</si>
  <si>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</si>
  <si>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</si>
  <si>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</si>
  <si>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</si>
  <si>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</si>
  <si>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Thứ Hai 19/10, Thứ Ba 20/10 và Thứ Tư 21/10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</si>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</sst>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247</v>
      </c>
    </row>
    <row r="3" customFormat="false" ht="15" hidden="false" customHeight="false" outlineLevel="0" collapsed="false">
      <c r="A3" s="18" t="s">
        <v>248</v>
      </c>
    </row>
    <row r="4" customFormat="false" ht="25.35" hidden="false" customHeight="false" outlineLevel="0" collapsed="false">
      <c r="A4" s="2" t="s">
        <v>8</v>
      </c>
      <c r="B4" s="2" t="s">
        <v>249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250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251</v>
      </c>
    </row>
    <row r="13" customFormat="false" ht="25.35" hidden="false" customHeight="false" outlineLevel="0" collapsed="false">
      <c r="A13" s="2" t="s">
        <v>8</v>
      </c>
      <c r="B13" s="2" t="s">
        <v>249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250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252</v>
      </c>
    </row>
    <row r="22" customFormat="false" ht="25.35" hidden="false" customHeight="false" outlineLevel="0" collapsed="false">
      <c r="A22" s="2" t="s">
        <v>8</v>
      </c>
      <c r="B22" s="2" t="s">
        <v>249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250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253</v>
      </c>
    </row>
    <row r="31" customFormat="false" ht="25.35" hidden="false" customHeight="false" outlineLevel="0" collapsed="false">
      <c r="A31" s="2" t="s">
        <v>8</v>
      </c>
      <c r="B31" s="2" t="s">
        <v>249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250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254</v>
      </c>
    </row>
    <row r="40" customFormat="false" ht="25.35" hidden="false" customHeight="false" outlineLevel="0" collapsed="false">
      <c r="A40" s="2" t="s">
        <v>8</v>
      </c>
      <c r="B40" s="2" t="s">
        <v>249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250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255</v>
      </c>
    </row>
    <row r="49" customFormat="false" ht="25.35" hidden="false" customHeight="false" outlineLevel="0" collapsed="false">
      <c r="A49" s="2" t="s">
        <v>8</v>
      </c>
      <c r="B49" s="2" t="s">
        <v>249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250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256</v>
      </c>
    </row>
    <row r="58" customFormat="false" ht="25.35" hidden="false" customHeight="false" outlineLevel="0" collapsed="false">
      <c r="A58" s="2" t="s">
        <v>8</v>
      </c>
      <c r="B58" s="2" t="s">
        <v>249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250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257</v>
      </c>
    </row>
    <row r="67" customFormat="false" ht="25.35" hidden="false" customHeight="false" outlineLevel="0" collapsed="false">
      <c r="A67" s="2" t="s">
        <v>8</v>
      </c>
      <c r="B67" s="2" t="s">
        <v>249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250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258</v>
      </c>
    </row>
    <row r="76" customFormat="false" ht="25.35" hidden="false" customHeight="false" outlineLevel="0" collapsed="false">
      <c r="A76" s="2" t="s">
        <v>8</v>
      </c>
      <c r="B76" s="2" t="s">
        <v>249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250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259</v>
      </c>
    </row>
    <row r="85" customFormat="false" ht="25.35" hidden="false" customHeight="false" outlineLevel="0" collapsed="false">
      <c r="A85" s="2" t="s">
        <v>8</v>
      </c>
      <c r="B85" s="2" t="s">
        <v>249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250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260</v>
      </c>
    </row>
    <row r="94" customFormat="false" ht="25.35" hidden="false" customHeight="false" outlineLevel="0" collapsed="false">
      <c r="A94" s="2" t="s">
        <v>8</v>
      </c>
      <c r="B94" s="2" t="s">
        <v>249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250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261</v>
      </c>
    </row>
    <row r="103" customFormat="false" ht="25.35" hidden="false" customHeight="false" outlineLevel="0" collapsed="false">
      <c r="A103" s="2" t="s">
        <v>8</v>
      </c>
      <c r="B103" s="2" t="s">
        <v>249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250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262</v>
      </c>
    </row>
    <row r="112" customFormat="false" ht="25.35" hidden="false" customHeight="false" outlineLevel="0" collapsed="false">
      <c r="A112" s="2" t="s">
        <v>8</v>
      </c>
      <c r="B112" s="2" t="s">
        <v>249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250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263</v>
      </c>
    </row>
    <row r="121" customFormat="false" ht="25.35" hidden="false" customHeight="false" outlineLevel="0" collapsed="false">
      <c r="A121" s="2" t="s">
        <v>8</v>
      </c>
      <c r="B121" s="2" t="s">
        <v>249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250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264</v>
      </c>
    </row>
    <row r="130" customFormat="false" ht="25.35" hidden="false" customHeight="false" outlineLevel="0" collapsed="false">
      <c r="A130" s="2" t="s">
        <v>8</v>
      </c>
      <c r="B130" s="2" t="s">
        <v>249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250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7" customFormat="false" ht="15" hidden="false" customHeight="false" outlineLevel="0" collapsed="false">
      <c r="A137" s="2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266</v>
      </c>
    </row>
    <row r="3" customFormat="false" ht="31.5" hidden="false" customHeight="true" outlineLevel="0" collapsed="false">
      <c r="A3" s="2" t="s">
        <v>267</v>
      </c>
      <c r="B3" s="2" t="s">
        <v>268</v>
      </c>
      <c r="C3" s="2" t="s">
        <v>16</v>
      </c>
      <c r="D3" s="2" t="s">
        <v>269</v>
      </c>
      <c r="E3" s="2" t="s">
        <v>270</v>
      </c>
      <c r="F3" s="2" t="s">
        <v>271</v>
      </c>
      <c r="G3" s="2" t="s">
        <v>272</v>
      </c>
      <c r="H3" s="2" t="s">
        <v>273</v>
      </c>
      <c r="I3" s="2" t="s">
        <v>274</v>
      </c>
      <c r="J3" s="2" t="s">
        <v>275</v>
      </c>
      <c r="K3" s="2" t="s">
        <v>276</v>
      </c>
      <c r="L3" s="2" t="s">
        <v>277</v>
      </c>
      <c r="M3" s="2" t="s">
        <v>278</v>
      </c>
      <c r="N3" s="2" t="s">
        <v>279</v>
      </c>
      <c r="O3" s="2" t="s">
        <v>280</v>
      </c>
      <c r="P3" s="2" t="s">
        <v>281</v>
      </c>
      <c r="Q3" s="2" t="s">
        <v>282</v>
      </c>
      <c r="R3" s="2" t="s">
        <v>283</v>
      </c>
      <c r="S3" s="2" t="s">
        <v>284</v>
      </c>
    </row>
    <row r="4" customFormat="false" ht="15" hidden="false" customHeight="false" outlineLevel="0" collapsed="false">
      <c r="A4" s="8" t="s">
        <v>285</v>
      </c>
      <c r="B4" s="8" t="s">
        <v>72</v>
      </c>
      <c r="C4" s="8" t="n">
        <v>1</v>
      </c>
      <c r="D4" s="8" t="s">
        <v>286</v>
      </c>
      <c r="E4" s="8" t="s">
        <v>286</v>
      </c>
      <c r="F4" s="8" t="s">
        <v>286</v>
      </c>
      <c r="G4" s="8" t="s">
        <v>286</v>
      </c>
      <c r="H4" s="8" t="s">
        <v>286</v>
      </c>
      <c r="I4" s="8" t="s">
        <v>286</v>
      </c>
      <c r="J4" s="8" t="s">
        <v>286</v>
      </c>
      <c r="K4" s="8" t="s">
        <v>286</v>
      </c>
      <c r="L4" s="8" t="s">
        <v>286</v>
      </c>
      <c r="M4" s="8" t="s">
        <v>286</v>
      </c>
      <c r="N4" s="8" t="s">
        <v>286</v>
      </c>
      <c r="O4" s="8" t="s">
        <v>286</v>
      </c>
      <c r="P4" s="8" t="s">
        <v>286</v>
      </c>
      <c r="Q4" s="8" t="s">
        <v>286</v>
      </c>
      <c r="R4" s="8" t="s">
        <v>48</v>
      </c>
      <c r="S4" s="26" t="n">
        <f aca="false">WORKDAY.INTL(DATE(2026,10,21),12,11)</f>
        <v>46330</v>
      </c>
    </row>
    <row r="5" customFormat="false" ht="15" hidden="false" customHeight="false" outlineLevel="0" collapsed="false">
      <c r="A5" s="8" t="s">
        <v>285</v>
      </c>
      <c r="B5" s="8" t="s">
        <v>25</v>
      </c>
      <c r="C5" s="8" t="n">
        <v>2</v>
      </c>
      <c r="D5" s="8" t="s">
        <v>286</v>
      </c>
      <c r="E5" s="8" t="s">
        <v>286</v>
      </c>
      <c r="F5" s="8" t="s">
        <v>286</v>
      </c>
      <c r="G5" s="8" t="s">
        <v>286</v>
      </c>
      <c r="H5" s="8" t="s">
        <v>286</v>
      </c>
      <c r="I5" s="8" t="s">
        <v>286</v>
      </c>
      <c r="J5" s="8" t="s">
        <v>286</v>
      </c>
      <c r="K5" s="8" t="s">
        <v>286</v>
      </c>
      <c r="L5" s="8" t="s">
        <v>286</v>
      </c>
      <c r="M5" s="8" t="s">
        <v>286</v>
      </c>
      <c r="N5" s="8" t="s">
        <v>286</v>
      </c>
      <c r="O5" s="8" t="s">
        <v>286</v>
      </c>
      <c r="P5" s="8" t="s">
        <v>286</v>
      </c>
      <c r="Q5" s="8" t="s">
        <v>286</v>
      </c>
      <c r="R5" s="8" t="s">
        <v>48</v>
      </c>
      <c r="S5" s="26" t="n">
        <f aca="false">WORKDAY.INTL(DATE(2026,10,21),12,11)</f>
        <v>46330</v>
      </c>
    </row>
    <row r="6" customFormat="false" ht="15" hidden="false" customHeight="false" outlineLevel="0" collapsed="false">
      <c r="A6" s="8" t="s">
        <v>285</v>
      </c>
      <c r="B6" s="8" t="s">
        <v>28</v>
      </c>
      <c r="C6" s="8" t="n">
        <v>2</v>
      </c>
      <c r="D6" s="8" t="s">
        <v>286</v>
      </c>
      <c r="E6" s="8" t="s">
        <v>286</v>
      </c>
      <c r="F6" s="8" t="s">
        <v>286</v>
      </c>
      <c r="G6" s="8" t="s">
        <v>286</v>
      </c>
      <c r="H6" s="8" t="s">
        <v>286</v>
      </c>
      <c r="I6" s="8" t="s">
        <v>286</v>
      </c>
      <c r="J6" s="8" t="s">
        <v>286</v>
      </c>
      <c r="K6" s="8" t="s">
        <v>286</v>
      </c>
      <c r="L6" s="8" t="s">
        <v>286</v>
      </c>
      <c r="M6" s="8" t="s">
        <v>286</v>
      </c>
      <c r="N6" s="8" t="s">
        <v>286</v>
      </c>
      <c r="O6" s="8" t="s">
        <v>286</v>
      </c>
      <c r="P6" s="8" t="s">
        <v>286</v>
      </c>
      <c r="Q6" s="8" t="s">
        <v>286</v>
      </c>
      <c r="R6" s="8" t="s">
        <v>48</v>
      </c>
      <c r="S6" s="26" t="n">
        <f aca="false">WORKDAY.INTL(DATE(2026,10,21),12,11)</f>
        <v>46330</v>
      </c>
    </row>
    <row r="7" customFormat="false" ht="15" hidden="false" customHeight="false" outlineLevel="0" collapsed="false">
      <c r="A7" s="8" t="s">
        <v>287</v>
      </c>
      <c r="B7" s="8" t="s">
        <v>28</v>
      </c>
      <c r="C7" s="8" t="n">
        <v>4</v>
      </c>
      <c r="D7" s="8" t="s">
        <v>286</v>
      </c>
      <c r="E7" s="8" t="s">
        <v>286</v>
      </c>
      <c r="F7" s="8" t="s">
        <v>286</v>
      </c>
      <c r="G7" s="8" t="s">
        <v>286</v>
      </c>
      <c r="H7" s="8" t="s">
        <v>286</v>
      </c>
      <c r="I7" s="8" t="s">
        <v>286</v>
      </c>
      <c r="J7" s="8" t="s">
        <v>286</v>
      </c>
      <c r="K7" s="8" t="s">
        <v>286</v>
      </c>
      <c r="L7" s="8" t="s">
        <v>286</v>
      </c>
      <c r="M7" s="8" t="s">
        <v>286</v>
      </c>
      <c r="N7" s="8" t="s">
        <v>286</v>
      </c>
      <c r="O7" s="8" t="s">
        <v>286</v>
      </c>
      <c r="P7" s="8" t="s">
        <v>286</v>
      </c>
      <c r="Q7" s="8" t="s">
        <v>48</v>
      </c>
      <c r="R7" s="8" t="s">
        <v>288</v>
      </c>
      <c r="S7" s="26" t="n">
        <f aca="false">WORKDAY.INTL(DATE(2026,10,20),12,11)</f>
        <v>46329</v>
      </c>
    </row>
    <row r="8" customFormat="false" ht="15" hidden="false" customHeight="false" outlineLevel="0" collapsed="false">
      <c r="A8" s="8" t="s">
        <v>287</v>
      </c>
      <c r="B8" s="8" t="s">
        <v>25</v>
      </c>
      <c r="C8" s="8" t="n">
        <v>2</v>
      </c>
      <c r="D8" s="8" t="s">
        <v>286</v>
      </c>
      <c r="E8" s="8" t="s">
        <v>286</v>
      </c>
      <c r="F8" s="8" t="s">
        <v>286</v>
      </c>
      <c r="G8" s="8" t="s">
        <v>286</v>
      </c>
      <c r="H8" s="8" t="s">
        <v>286</v>
      </c>
      <c r="I8" s="8" t="s">
        <v>286</v>
      </c>
      <c r="J8" s="8" t="s">
        <v>286</v>
      </c>
      <c r="K8" s="8" t="s">
        <v>286</v>
      </c>
      <c r="L8" s="8" t="s">
        <v>286</v>
      </c>
      <c r="M8" s="8" t="s">
        <v>286</v>
      </c>
      <c r="N8" s="8" t="s">
        <v>286</v>
      </c>
      <c r="O8" s="8" t="s">
        <v>286</v>
      </c>
      <c r="P8" s="8" t="s">
        <v>286</v>
      </c>
      <c r="Q8" s="8" t="s">
        <v>48</v>
      </c>
      <c r="R8" s="8" t="s">
        <v>288</v>
      </c>
      <c r="S8" s="26" t="n">
        <f aca="false">WORKDAY.INTL(DATE(2026,10,20),12,11)</f>
        <v>46329</v>
      </c>
    </row>
    <row r="9" customFormat="false" ht="15" hidden="false" customHeight="false" outlineLevel="0" collapsed="false">
      <c r="A9" s="8" t="s">
        <v>289</v>
      </c>
      <c r="B9" s="8" t="s">
        <v>28</v>
      </c>
      <c r="C9" s="8" t="n">
        <v>2</v>
      </c>
      <c r="D9" s="8" t="s">
        <v>286</v>
      </c>
      <c r="E9" s="8" t="s">
        <v>286</v>
      </c>
      <c r="F9" s="8" t="s">
        <v>286</v>
      </c>
      <c r="G9" s="8" t="s">
        <v>286</v>
      </c>
      <c r="H9" s="8" t="s">
        <v>286</v>
      </c>
      <c r="I9" s="8" t="s">
        <v>286</v>
      </c>
      <c r="J9" s="8" t="s">
        <v>286</v>
      </c>
      <c r="K9" s="8" t="s">
        <v>286</v>
      </c>
      <c r="L9" s="8" t="s">
        <v>286</v>
      </c>
      <c r="M9" s="8" t="s">
        <v>286</v>
      </c>
      <c r="N9" s="8" t="s">
        <v>286</v>
      </c>
      <c r="O9" s="8" t="s">
        <v>286</v>
      </c>
      <c r="P9" s="8" t="s">
        <v>48</v>
      </c>
      <c r="Q9" s="8" t="s">
        <v>288</v>
      </c>
      <c r="R9" s="8" t="s">
        <v>290</v>
      </c>
      <c r="S9" s="26" t="n">
        <f aca="false">WORKDAY.INTL(DATE(2026,10,19),12,11)</f>
        <v>46328</v>
      </c>
    </row>
    <row r="10" customFormat="false" ht="15" hidden="false" customHeight="false" outlineLevel="0" collapsed="false">
      <c r="A10" s="8" t="s">
        <v>289</v>
      </c>
      <c r="B10" s="8" t="s">
        <v>25</v>
      </c>
      <c r="C10" s="8" t="n">
        <v>1</v>
      </c>
      <c r="D10" s="8" t="s">
        <v>286</v>
      </c>
      <c r="E10" s="8" t="s">
        <v>286</v>
      </c>
      <c r="F10" s="8" t="s">
        <v>286</v>
      </c>
      <c r="G10" s="8" t="s">
        <v>286</v>
      </c>
      <c r="H10" s="8" t="s">
        <v>286</v>
      </c>
      <c r="I10" s="8" t="s">
        <v>286</v>
      </c>
      <c r="J10" s="8" t="s">
        <v>286</v>
      </c>
      <c r="K10" s="8" t="s">
        <v>286</v>
      </c>
      <c r="L10" s="8" t="s">
        <v>286</v>
      </c>
      <c r="M10" s="8" t="s">
        <v>286</v>
      </c>
      <c r="N10" s="8" t="s">
        <v>286</v>
      </c>
      <c r="O10" s="8" t="s">
        <v>286</v>
      </c>
      <c r="P10" s="8" t="s">
        <v>48</v>
      </c>
      <c r="Q10" s="8" t="s">
        <v>288</v>
      </c>
      <c r="R10" s="8" t="s">
        <v>290</v>
      </c>
      <c r="S10" s="26" t="n">
        <f aca="false">WORKDAY.INTL(DATE(2026,10,19),12,11)</f>
        <v>46328</v>
      </c>
    </row>
    <row r="11" customFormat="false" ht="15" hidden="false" customHeight="false" outlineLevel="0" collapsed="false">
      <c r="A11" s="8" t="s">
        <v>291</v>
      </c>
      <c r="B11" s="8" t="s">
        <v>28</v>
      </c>
      <c r="C11" s="8" t="n">
        <v>1</v>
      </c>
      <c r="D11" s="8" t="s">
        <v>286</v>
      </c>
      <c r="E11" s="8" t="s">
        <v>286</v>
      </c>
      <c r="F11" s="8" t="s">
        <v>286</v>
      </c>
      <c r="G11" s="8" t="s">
        <v>286</v>
      </c>
      <c r="H11" s="8" t="s">
        <v>286</v>
      </c>
      <c r="I11" s="8" t="s">
        <v>286</v>
      </c>
      <c r="J11" s="8" t="s">
        <v>286</v>
      </c>
      <c r="K11" s="8" t="s">
        <v>286</v>
      </c>
      <c r="L11" s="8" t="s">
        <v>286</v>
      </c>
      <c r="M11" s="8" t="s">
        <v>286</v>
      </c>
      <c r="N11" s="8" t="s">
        <v>48</v>
      </c>
      <c r="O11" s="8" t="s">
        <v>288</v>
      </c>
      <c r="P11" s="8" t="s">
        <v>290</v>
      </c>
      <c r="Q11" s="8" t="s">
        <v>292</v>
      </c>
      <c r="R11" s="8" t="s">
        <v>293</v>
      </c>
      <c r="S11" s="26" t="n">
        <f aca="false">WORKDAY.INTL(DATE(2026,10,16),12,11)</f>
        <v>46325</v>
      </c>
    </row>
    <row r="12" customFormat="false" ht="15" hidden="false" customHeight="false" outlineLevel="0" collapsed="false">
      <c r="A12" s="8" t="s">
        <v>294</v>
      </c>
      <c r="B12" s="8" t="s">
        <v>28</v>
      </c>
      <c r="C12" s="8" t="n">
        <v>4</v>
      </c>
      <c r="D12" s="8" t="s">
        <v>286</v>
      </c>
      <c r="E12" s="8" t="s">
        <v>286</v>
      </c>
      <c r="F12" s="8" t="s">
        <v>286</v>
      </c>
      <c r="G12" s="8" t="s">
        <v>286</v>
      </c>
      <c r="H12" s="8" t="s">
        <v>286</v>
      </c>
      <c r="I12" s="8" t="s">
        <v>286</v>
      </c>
      <c r="J12" s="8" t="s">
        <v>286</v>
      </c>
      <c r="K12" s="8" t="s">
        <v>286</v>
      </c>
      <c r="L12" s="8" t="s">
        <v>286</v>
      </c>
      <c r="M12" s="8" t="s">
        <v>48</v>
      </c>
      <c r="N12" s="8" t="s">
        <v>288</v>
      </c>
      <c r="O12" s="8" t="s">
        <v>290</v>
      </c>
      <c r="P12" s="8" t="s">
        <v>292</v>
      </c>
      <c r="Q12" s="8" t="s">
        <v>293</v>
      </c>
      <c r="R12" s="8" t="s">
        <v>295</v>
      </c>
      <c r="S12" s="26" t="n">
        <f aca="false">WORKDAY.INTL(DATE(2026,10,15),12,11)</f>
        <v>46324</v>
      </c>
    </row>
    <row r="13" customFormat="false" ht="15" hidden="false" customHeight="false" outlineLevel="0" collapsed="false">
      <c r="A13" s="8" t="s">
        <v>296</v>
      </c>
      <c r="B13" s="8" t="s">
        <v>28</v>
      </c>
      <c r="C13" s="8" t="n">
        <v>1</v>
      </c>
      <c r="D13" s="8" t="s">
        <v>286</v>
      </c>
      <c r="E13" s="8" t="s">
        <v>286</v>
      </c>
      <c r="F13" s="8" t="s">
        <v>286</v>
      </c>
      <c r="G13" s="8" t="s">
        <v>286</v>
      </c>
      <c r="H13" s="8" t="s">
        <v>286</v>
      </c>
      <c r="I13" s="8" t="s">
        <v>286</v>
      </c>
      <c r="J13" s="8" t="s">
        <v>286</v>
      </c>
      <c r="K13" s="8" t="s">
        <v>286</v>
      </c>
      <c r="L13" s="8" t="s">
        <v>48</v>
      </c>
      <c r="M13" s="8" t="s">
        <v>288</v>
      </c>
      <c r="N13" s="8" t="s">
        <v>290</v>
      </c>
      <c r="O13" s="8" t="s">
        <v>292</v>
      </c>
      <c r="P13" s="8" t="s">
        <v>293</v>
      </c>
      <c r="Q13" s="8" t="s">
        <v>295</v>
      </c>
      <c r="R13" s="8" t="s">
        <v>297</v>
      </c>
      <c r="S13" s="26" t="n">
        <f aca="false">WORKDAY.INTL(DATE(2026,10,14),12,11)</f>
        <v>46323</v>
      </c>
    </row>
    <row r="14" customFormat="false" ht="15" hidden="false" customHeight="false" outlineLevel="0" collapsed="false">
      <c r="A14" s="8" t="s">
        <v>298</v>
      </c>
      <c r="B14" s="8" t="s">
        <v>28</v>
      </c>
      <c r="C14" s="8" t="n">
        <v>2</v>
      </c>
      <c r="D14" s="8" t="s">
        <v>286</v>
      </c>
      <c r="E14" s="8" t="s">
        <v>286</v>
      </c>
      <c r="F14" s="8" t="s">
        <v>286</v>
      </c>
      <c r="G14" s="8" t="s">
        <v>286</v>
      </c>
      <c r="H14" s="8" t="s">
        <v>286</v>
      </c>
      <c r="I14" s="8" t="s">
        <v>286</v>
      </c>
      <c r="J14" s="8" t="s">
        <v>286</v>
      </c>
      <c r="K14" s="8" t="s">
        <v>48</v>
      </c>
      <c r="L14" s="8" t="s">
        <v>288</v>
      </c>
      <c r="M14" s="8" t="s">
        <v>290</v>
      </c>
      <c r="N14" s="8" t="s">
        <v>292</v>
      </c>
      <c r="O14" s="8" t="s">
        <v>293</v>
      </c>
      <c r="P14" s="8" t="s">
        <v>295</v>
      </c>
      <c r="Q14" s="8" t="s">
        <v>297</v>
      </c>
      <c r="R14" s="8" t="s">
        <v>299</v>
      </c>
      <c r="S14" s="26" t="n">
        <f aca="false">WORKDAY.INTL(DATE(2026,10,13),12,11)</f>
        <v>46322</v>
      </c>
    </row>
    <row r="15" customFormat="false" ht="15" hidden="false" customHeight="false" outlineLevel="0" collapsed="false">
      <c r="A15" s="8" t="s">
        <v>298</v>
      </c>
      <c r="B15" s="8" t="s">
        <v>72</v>
      </c>
      <c r="C15" s="8" t="n">
        <v>4</v>
      </c>
      <c r="D15" s="8" t="s">
        <v>286</v>
      </c>
      <c r="E15" s="8" t="s">
        <v>286</v>
      </c>
      <c r="F15" s="8" t="s">
        <v>286</v>
      </c>
      <c r="G15" s="8" t="s">
        <v>286</v>
      </c>
      <c r="H15" s="8" t="s">
        <v>286</v>
      </c>
      <c r="I15" s="8" t="s">
        <v>286</v>
      </c>
      <c r="J15" s="8" t="s">
        <v>286</v>
      </c>
      <c r="K15" s="8" t="s">
        <v>48</v>
      </c>
      <c r="L15" s="8" t="s">
        <v>288</v>
      </c>
      <c r="M15" s="8" t="s">
        <v>290</v>
      </c>
      <c r="N15" s="8" t="s">
        <v>292</v>
      </c>
      <c r="O15" s="8" t="s">
        <v>293</v>
      </c>
      <c r="P15" s="8" t="s">
        <v>295</v>
      </c>
      <c r="Q15" s="8" t="s">
        <v>297</v>
      </c>
      <c r="R15" s="8" t="s">
        <v>299</v>
      </c>
      <c r="S15" s="26" t="n">
        <f aca="false">WORKDAY.INTL(DATE(2026,10,13),12,11)</f>
        <v>46322</v>
      </c>
    </row>
    <row r="16" customFormat="false" ht="15" hidden="false" customHeight="false" outlineLevel="0" collapsed="false">
      <c r="A16" s="8" t="s">
        <v>298</v>
      </c>
      <c r="B16" s="8" t="s">
        <v>25</v>
      </c>
      <c r="C16" s="8" t="n">
        <v>1</v>
      </c>
      <c r="D16" s="8" t="s">
        <v>286</v>
      </c>
      <c r="E16" s="8" t="s">
        <v>286</v>
      </c>
      <c r="F16" s="8" t="s">
        <v>286</v>
      </c>
      <c r="G16" s="8" t="s">
        <v>286</v>
      </c>
      <c r="H16" s="8" t="s">
        <v>286</v>
      </c>
      <c r="I16" s="8" t="s">
        <v>286</v>
      </c>
      <c r="J16" s="8" t="s">
        <v>286</v>
      </c>
      <c r="K16" s="8" t="s">
        <v>48</v>
      </c>
      <c r="L16" s="8" t="s">
        <v>288</v>
      </c>
      <c r="M16" s="8" t="s">
        <v>290</v>
      </c>
      <c r="N16" s="8" t="s">
        <v>292</v>
      </c>
      <c r="O16" s="8" t="s">
        <v>293</v>
      </c>
      <c r="P16" s="8" t="s">
        <v>295</v>
      </c>
      <c r="Q16" s="8" t="s">
        <v>297</v>
      </c>
      <c r="R16" s="8" t="s">
        <v>299</v>
      </c>
      <c r="S16" s="26" t="n">
        <f aca="false">WORKDAY.INTL(DATE(2026,10,13),12,11)</f>
        <v>46322</v>
      </c>
    </row>
    <row r="17" customFormat="false" ht="15" hidden="false" customHeight="false" outlineLevel="0" collapsed="false">
      <c r="A17" s="8" t="s">
        <v>300</v>
      </c>
      <c r="B17" s="8" t="s">
        <v>28</v>
      </c>
      <c r="C17" s="8" t="n">
        <v>2</v>
      </c>
      <c r="D17" s="8" t="s">
        <v>286</v>
      </c>
      <c r="E17" s="8" t="s">
        <v>286</v>
      </c>
      <c r="F17" s="8" t="s">
        <v>286</v>
      </c>
      <c r="G17" s="8" t="s">
        <v>286</v>
      </c>
      <c r="H17" s="8" t="s">
        <v>286</v>
      </c>
      <c r="I17" s="8" t="s">
        <v>286</v>
      </c>
      <c r="J17" s="8" t="s">
        <v>48</v>
      </c>
      <c r="K17" s="8" t="s">
        <v>288</v>
      </c>
      <c r="L17" s="8" t="s">
        <v>290</v>
      </c>
      <c r="M17" s="8" t="s">
        <v>292</v>
      </c>
      <c r="N17" s="8" t="s">
        <v>293</v>
      </c>
      <c r="O17" s="8" t="s">
        <v>295</v>
      </c>
      <c r="P17" s="8" t="s">
        <v>297</v>
      </c>
      <c r="Q17" s="8" t="s">
        <v>299</v>
      </c>
      <c r="R17" s="8" t="s">
        <v>301</v>
      </c>
      <c r="S17" s="26" t="n">
        <f aca="false">WORKDAY.INTL(DATE(2026,10,12),12,11)</f>
        <v>46321</v>
      </c>
    </row>
    <row r="18" customFormat="false" ht="15" hidden="false" customHeight="false" outlineLevel="0" collapsed="false">
      <c r="A18" s="8" t="s">
        <v>300</v>
      </c>
      <c r="B18" s="8" t="s">
        <v>72</v>
      </c>
      <c r="C18" s="8" t="n">
        <v>1</v>
      </c>
      <c r="D18" s="8" t="s">
        <v>286</v>
      </c>
      <c r="E18" s="8" t="s">
        <v>286</v>
      </c>
      <c r="F18" s="8" t="s">
        <v>286</v>
      </c>
      <c r="G18" s="8" t="s">
        <v>286</v>
      </c>
      <c r="H18" s="8" t="s">
        <v>286</v>
      </c>
      <c r="I18" s="8" t="s">
        <v>286</v>
      </c>
      <c r="J18" s="8" t="s">
        <v>48</v>
      </c>
      <c r="K18" s="8" t="s">
        <v>288</v>
      </c>
      <c r="L18" s="8" t="s">
        <v>290</v>
      </c>
      <c r="M18" s="8" t="s">
        <v>292</v>
      </c>
      <c r="N18" s="8" t="s">
        <v>293</v>
      </c>
      <c r="O18" s="8" t="s">
        <v>295</v>
      </c>
      <c r="P18" s="8" t="s">
        <v>297</v>
      </c>
      <c r="Q18" s="8" t="s">
        <v>299</v>
      </c>
      <c r="R18" s="8" t="s">
        <v>301</v>
      </c>
      <c r="S18" s="26" t="n">
        <f aca="false">WORKDAY.INTL(DATE(2026,10,12),12,11)</f>
        <v>46321</v>
      </c>
    </row>
    <row r="19" customFormat="false" ht="15" hidden="false" customHeight="false" outlineLevel="0" collapsed="false">
      <c r="A19" s="8" t="s">
        <v>302</v>
      </c>
      <c r="B19" s="8" t="s">
        <v>28</v>
      </c>
      <c r="C19" s="8" t="n">
        <v>6</v>
      </c>
      <c r="D19" s="8" t="s">
        <v>286</v>
      </c>
      <c r="E19" s="8" t="s">
        <v>286</v>
      </c>
      <c r="F19" s="8" t="s">
        <v>286</v>
      </c>
      <c r="G19" s="8" t="s">
        <v>286</v>
      </c>
      <c r="H19" s="8" t="s">
        <v>48</v>
      </c>
      <c r="I19" s="8" t="s">
        <v>288</v>
      </c>
      <c r="J19" s="8" t="s">
        <v>290</v>
      </c>
      <c r="K19" s="8" t="s">
        <v>292</v>
      </c>
      <c r="L19" s="8" t="s">
        <v>293</v>
      </c>
      <c r="M19" s="8" t="s">
        <v>295</v>
      </c>
      <c r="N19" s="8" t="s">
        <v>297</v>
      </c>
      <c r="O19" s="8" t="s">
        <v>299</v>
      </c>
      <c r="P19" s="8" t="s">
        <v>301</v>
      </c>
      <c r="Q19" s="8" t="s">
        <v>303</v>
      </c>
      <c r="R19" s="8" t="s">
        <v>304</v>
      </c>
      <c r="S19" s="26" t="n">
        <f aca="false">WORKDAY.INTL(DATE(2026,10,9),12,11)</f>
        <v>46318</v>
      </c>
    </row>
    <row r="20" customFormat="false" ht="15" hidden="false" customHeight="false" outlineLevel="0" collapsed="false">
      <c r="A20" s="8" t="s">
        <v>302</v>
      </c>
      <c r="B20" s="8" t="s">
        <v>72</v>
      </c>
      <c r="C20" s="8" t="n">
        <v>2</v>
      </c>
      <c r="D20" s="8" t="s">
        <v>286</v>
      </c>
      <c r="E20" s="8" t="s">
        <v>286</v>
      </c>
      <c r="F20" s="8" t="s">
        <v>286</v>
      </c>
      <c r="G20" s="8" t="s">
        <v>286</v>
      </c>
      <c r="H20" s="8" t="s">
        <v>48</v>
      </c>
      <c r="I20" s="8" t="s">
        <v>288</v>
      </c>
      <c r="J20" s="8" t="s">
        <v>290</v>
      </c>
      <c r="K20" s="8" t="s">
        <v>292</v>
      </c>
      <c r="L20" s="8" t="s">
        <v>293</v>
      </c>
      <c r="M20" s="8" t="s">
        <v>295</v>
      </c>
      <c r="N20" s="8" t="s">
        <v>297</v>
      </c>
      <c r="O20" s="8" t="s">
        <v>299</v>
      </c>
      <c r="P20" s="8" t="s">
        <v>301</v>
      </c>
      <c r="Q20" s="8" t="s">
        <v>303</v>
      </c>
      <c r="R20" s="8" t="s">
        <v>304</v>
      </c>
      <c r="S20" s="26" t="n">
        <f aca="false">WORKDAY.INTL(DATE(2026,10,9),12,11)</f>
        <v>46318</v>
      </c>
    </row>
    <row r="21" customFormat="false" ht="15" hidden="false" customHeight="false" outlineLevel="0" collapsed="false">
      <c r="A21" s="8" t="s">
        <v>305</v>
      </c>
      <c r="B21" s="8" t="s">
        <v>72</v>
      </c>
      <c r="C21" s="8" t="n">
        <v>1</v>
      </c>
      <c r="D21" s="8" t="s">
        <v>286</v>
      </c>
      <c r="E21" s="8" t="s">
        <v>286</v>
      </c>
      <c r="F21" s="8" t="s">
        <v>286</v>
      </c>
      <c r="G21" s="8" t="s">
        <v>48</v>
      </c>
      <c r="H21" s="8" t="s">
        <v>288</v>
      </c>
      <c r="I21" s="8" t="s">
        <v>290</v>
      </c>
      <c r="J21" s="8" t="s">
        <v>292</v>
      </c>
      <c r="K21" s="8" t="s">
        <v>293</v>
      </c>
      <c r="L21" s="8" t="s">
        <v>295</v>
      </c>
      <c r="M21" s="8" t="s">
        <v>297</v>
      </c>
      <c r="N21" s="8" t="s">
        <v>299</v>
      </c>
      <c r="O21" s="8" t="s">
        <v>301</v>
      </c>
      <c r="P21" s="8" t="s">
        <v>303</v>
      </c>
      <c r="Q21" s="8" t="s">
        <v>304</v>
      </c>
      <c r="R21" s="8" t="s">
        <v>306</v>
      </c>
      <c r="S21" s="26" t="n">
        <f aca="false">WORKDAY.INTL(DATE(2026,10,8),12,11)</f>
        <v>46317</v>
      </c>
    </row>
    <row r="22" customFormat="false" ht="15" hidden="false" customHeight="false" outlineLevel="0" collapsed="false">
      <c r="A22" s="8" t="s">
        <v>305</v>
      </c>
      <c r="B22" s="8" t="s">
        <v>25</v>
      </c>
      <c r="C22" s="8" t="n">
        <v>3</v>
      </c>
      <c r="D22" s="8" t="s">
        <v>286</v>
      </c>
      <c r="E22" s="8" t="s">
        <v>286</v>
      </c>
      <c r="F22" s="8" t="s">
        <v>286</v>
      </c>
      <c r="G22" s="8" t="s">
        <v>48</v>
      </c>
      <c r="H22" s="8" t="s">
        <v>288</v>
      </c>
      <c r="I22" s="8" t="s">
        <v>290</v>
      </c>
      <c r="J22" s="8" t="s">
        <v>292</v>
      </c>
      <c r="K22" s="8" t="s">
        <v>293</v>
      </c>
      <c r="L22" s="8" t="s">
        <v>295</v>
      </c>
      <c r="M22" s="8" t="s">
        <v>297</v>
      </c>
      <c r="N22" s="8" t="s">
        <v>299</v>
      </c>
      <c r="O22" s="8" t="s">
        <v>301</v>
      </c>
      <c r="P22" s="8" t="s">
        <v>303</v>
      </c>
      <c r="Q22" s="8" t="s">
        <v>304</v>
      </c>
      <c r="R22" s="8" t="s">
        <v>306</v>
      </c>
      <c r="S22" s="26" t="n">
        <f aca="false">WORKDAY.INTL(DATE(2026,10,8),12,11)</f>
        <v>46317</v>
      </c>
    </row>
    <row r="23" customFormat="false" ht="15" hidden="false" customHeight="false" outlineLevel="0" collapsed="false">
      <c r="A23" s="8" t="s">
        <v>307</v>
      </c>
      <c r="B23" s="8" t="s">
        <v>28</v>
      </c>
      <c r="C23" s="8" t="n">
        <v>6</v>
      </c>
      <c r="D23" s="8" t="s">
        <v>286</v>
      </c>
      <c r="E23" s="8" t="s">
        <v>286</v>
      </c>
      <c r="F23" s="8" t="s">
        <v>48</v>
      </c>
      <c r="G23" s="8" t="s">
        <v>288</v>
      </c>
      <c r="H23" s="8" t="s">
        <v>290</v>
      </c>
      <c r="I23" s="8" t="s">
        <v>292</v>
      </c>
      <c r="J23" s="8" t="s">
        <v>293</v>
      </c>
      <c r="K23" s="8" t="s">
        <v>295</v>
      </c>
      <c r="L23" s="8" t="s">
        <v>297</v>
      </c>
      <c r="M23" s="8" t="s">
        <v>299</v>
      </c>
      <c r="N23" s="8" t="s">
        <v>301</v>
      </c>
      <c r="O23" s="8" t="s">
        <v>303</v>
      </c>
      <c r="P23" s="8" t="s">
        <v>304</v>
      </c>
      <c r="Q23" s="8" t="s">
        <v>306</v>
      </c>
      <c r="R23" s="8" t="s">
        <v>308</v>
      </c>
      <c r="S23" s="26" t="n">
        <f aca="false">WORKDAY.INTL(DATE(2026,10,7),12,11)</f>
        <v>46316</v>
      </c>
    </row>
    <row r="24" customFormat="false" ht="15" hidden="false" customHeight="false" outlineLevel="0" collapsed="false">
      <c r="A24" s="8" t="s">
        <v>307</v>
      </c>
      <c r="B24" s="8" t="s">
        <v>72</v>
      </c>
      <c r="C24" s="8" t="n">
        <v>2</v>
      </c>
      <c r="D24" s="8" t="s">
        <v>286</v>
      </c>
      <c r="E24" s="8" t="s">
        <v>286</v>
      </c>
      <c r="F24" s="8" t="s">
        <v>48</v>
      </c>
      <c r="G24" s="8" t="s">
        <v>288</v>
      </c>
      <c r="H24" s="8" t="s">
        <v>290</v>
      </c>
      <c r="I24" s="8" t="s">
        <v>292</v>
      </c>
      <c r="J24" s="8" t="s">
        <v>293</v>
      </c>
      <c r="K24" s="8" t="s">
        <v>295</v>
      </c>
      <c r="L24" s="8" t="s">
        <v>297</v>
      </c>
      <c r="M24" s="8" t="s">
        <v>299</v>
      </c>
      <c r="N24" s="8" t="s">
        <v>301</v>
      </c>
      <c r="O24" s="8" t="s">
        <v>303</v>
      </c>
      <c r="P24" s="8" t="s">
        <v>304</v>
      </c>
      <c r="Q24" s="8" t="s">
        <v>306</v>
      </c>
      <c r="R24" s="8" t="s">
        <v>308</v>
      </c>
      <c r="S24" s="26" t="n">
        <f aca="false">WORKDAY.INTL(DATE(2026,10,7),12,11)</f>
        <v>46316</v>
      </c>
    </row>
    <row r="25" customFormat="false" ht="15" hidden="false" customHeight="false" outlineLevel="0" collapsed="false">
      <c r="A25" s="8" t="s">
        <v>309</v>
      </c>
      <c r="B25" s="8" t="s">
        <v>28</v>
      </c>
      <c r="C25" s="8" t="n">
        <v>7</v>
      </c>
      <c r="D25" s="8" t="s">
        <v>286</v>
      </c>
      <c r="E25" s="8" t="s">
        <v>48</v>
      </c>
      <c r="F25" s="8" t="s">
        <v>288</v>
      </c>
      <c r="G25" s="8" t="s">
        <v>290</v>
      </c>
      <c r="H25" s="8" t="s">
        <v>292</v>
      </c>
      <c r="I25" s="8" t="s">
        <v>293</v>
      </c>
      <c r="J25" s="8" t="s">
        <v>295</v>
      </c>
      <c r="K25" s="8" t="s">
        <v>297</v>
      </c>
      <c r="L25" s="8" t="s">
        <v>299</v>
      </c>
      <c r="M25" s="8" t="s">
        <v>301</v>
      </c>
      <c r="N25" s="8" t="s">
        <v>303</v>
      </c>
      <c r="O25" s="8" t="s">
        <v>304</v>
      </c>
      <c r="P25" s="8" t="s">
        <v>306</v>
      </c>
      <c r="Q25" s="8" t="s">
        <v>308</v>
      </c>
      <c r="R25" s="8" t="s">
        <v>310</v>
      </c>
      <c r="S25" s="26" t="n">
        <f aca="false">WORKDAY.INTL(DATE(2026,10,6),12,11)</f>
        <v>46315</v>
      </c>
    </row>
    <row r="26" customFormat="false" ht="15" hidden="false" customHeight="false" outlineLevel="0" collapsed="false">
      <c r="A26" s="8" t="s">
        <v>309</v>
      </c>
      <c r="B26" s="8" t="s">
        <v>72</v>
      </c>
      <c r="C26" s="8" t="n">
        <v>4</v>
      </c>
      <c r="D26" s="8" t="s">
        <v>286</v>
      </c>
      <c r="E26" s="8" t="s">
        <v>48</v>
      </c>
      <c r="F26" s="8" t="s">
        <v>288</v>
      </c>
      <c r="G26" s="8" t="s">
        <v>290</v>
      </c>
      <c r="H26" s="8" t="s">
        <v>292</v>
      </c>
      <c r="I26" s="8" t="s">
        <v>293</v>
      </c>
      <c r="J26" s="8" t="s">
        <v>295</v>
      </c>
      <c r="K26" s="8" t="s">
        <v>297</v>
      </c>
      <c r="L26" s="8" t="s">
        <v>299</v>
      </c>
      <c r="M26" s="8" t="s">
        <v>301</v>
      </c>
      <c r="N26" s="8" t="s">
        <v>303</v>
      </c>
      <c r="O26" s="8" t="s">
        <v>304</v>
      </c>
      <c r="P26" s="8" t="s">
        <v>306</v>
      </c>
      <c r="Q26" s="8" t="s">
        <v>308</v>
      </c>
      <c r="R26" s="8" t="s">
        <v>310</v>
      </c>
      <c r="S26" s="26" t="n">
        <f aca="false">WORKDAY.INTL(DATE(2026,10,6),12,11)</f>
        <v>46315</v>
      </c>
    </row>
    <row r="27" customFormat="false" ht="15" hidden="false" customHeight="false" outlineLevel="0" collapsed="false">
      <c r="A27" s="8" t="s">
        <v>309</v>
      </c>
      <c r="B27" s="8" t="s">
        <v>25</v>
      </c>
      <c r="C27" s="8" t="n">
        <v>3</v>
      </c>
      <c r="D27" s="8" t="s">
        <v>286</v>
      </c>
      <c r="E27" s="8" t="s">
        <v>48</v>
      </c>
      <c r="F27" s="8" t="s">
        <v>288</v>
      </c>
      <c r="G27" s="8" t="s">
        <v>290</v>
      </c>
      <c r="H27" s="8" t="s">
        <v>292</v>
      </c>
      <c r="I27" s="8" t="s">
        <v>293</v>
      </c>
      <c r="J27" s="8" t="s">
        <v>295</v>
      </c>
      <c r="K27" s="8" t="s">
        <v>297</v>
      </c>
      <c r="L27" s="8" t="s">
        <v>299</v>
      </c>
      <c r="M27" s="8" t="s">
        <v>301</v>
      </c>
      <c r="N27" s="8" t="s">
        <v>303</v>
      </c>
      <c r="O27" s="8" t="s">
        <v>304</v>
      </c>
      <c r="P27" s="8" t="s">
        <v>306</v>
      </c>
      <c r="Q27" s="8" t="s">
        <v>308</v>
      </c>
      <c r="R27" s="8" t="s">
        <v>310</v>
      </c>
      <c r="S27" s="26" t="n">
        <f aca="false">WORKDAY.INTL(DATE(2026,10,6),12,11)</f>
        <v>46315</v>
      </c>
    </row>
    <row r="28" customFormat="false" ht="15" hidden="false" customHeight="false" outlineLevel="0" collapsed="false">
      <c r="A28" s="8" t="s">
        <v>311</v>
      </c>
      <c r="B28" s="8" t="s">
        <v>28</v>
      </c>
      <c r="C28" s="8" t="n">
        <v>6</v>
      </c>
      <c r="D28" s="8" t="s">
        <v>48</v>
      </c>
      <c r="E28" s="8" t="s">
        <v>288</v>
      </c>
      <c r="F28" s="8" t="s">
        <v>290</v>
      </c>
      <c r="G28" s="8" t="s">
        <v>292</v>
      </c>
      <c r="H28" s="8" t="s">
        <v>293</v>
      </c>
      <c r="I28" s="8" t="s">
        <v>295</v>
      </c>
      <c r="J28" s="8" t="s">
        <v>297</v>
      </c>
      <c r="K28" s="8" t="s">
        <v>299</v>
      </c>
      <c r="L28" s="8" t="s">
        <v>301</v>
      </c>
      <c r="M28" s="8" t="s">
        <v>303</v>
      </c>
      <c r="N28" s="8" t="s">
        <v>304</v>
      </c>
      <c r="O28" s="8" t="s">
        <v>306</v>
      </c>
      <c r="P28" s="8" t="s">
        <v>308</v>
      </c>
      <c r="Q28" s="8" t="s">
        <v>310</v>
      </c>
      <c r="R28" s="8" t="s">
        <v>310</v>
      </c>
      <c r="S28" s="26" t="n">
        <f aca="false">WORKDAY.INTL(DATE(2026,10,5),12,11)</f>
        <v>46314</v>
      </c>
    </row>
    <row r="29" customFormat="false" ht="15" hidden="false" customHeight="false" outlineLevel="0" collapsed="false">
      <c r="A29" s="13" t="s">
        <v>312</v>
      </c>
      <c r="B29" s="13" t="s">
        <v>28</v>
      </c>
      <c r="C29" s="13" t="n">
        <v>7</v>
      </c>
      <c r="D29" s="13" t="s">
        <v>295</v>
      </c>
      <c r="E29" s="13" t="s">
        <v>297</v>
      </c>
      <c r="F29" s="13" t="s">
        <v>299</v>
      </c>
      <c r="G29" s="13" t="s">
        <v>301</v>
      </c>
      <c r="H29" s="13" t="s">
        <v>303</v>
      </c>
      <c r="I29" s="13" t="s">
        <v>304</v>
      </c>
      <c r="J29" s="13" t="s">
        <v>306</v>
      </c>
      <c r="K29" s="13" t="s">
        <v>308</v>
      </c>
      <c r="L29" s="13" t="s">
        <v>310</v>
      </c>
      <c r="M29" s="13" t="s">
        <v>310</v>
      </c>
      <c r="N29" s="13" t="s">
        <v>310</v>
      </c>
      <c r="O29" s="13" t="s">
        <v>310</v>
      </c>
      <c r="P29" s="13" t="s">
        <v>310</v>
      </c>
      <c r="Q29" s="13" t="s">
        <v>310</v>
      </c>
      <c r="R29" s="13" t="s">
        <v>310</v>
      </c>
      <c r="S29" s="27" t="n">
        <f aca="false">WORKDAY.INTL(DATE(2026,10,5),7,11)</f>
        <v>46308</v>
      </c>
    </row>
    <row r="30" customFormat="false" ht="15" hidden="false" customHeight="false" outlineLevel="0" collapsed="false">
      <c r="A30" s="13" t="s">
        <v>313</v>
      </c>
      <c r="B30" s="13" t="s">
        <v>28</v>
      </c>
      <c r="C30" s="13" t="n">
        <v>3</v>
      </c>
      <c r="D30" s="13" t="s">
        <v>304</v>
      </c>
      <c r="E30" s="13" t="s">
        <v>306</v>
      </c>
      <c r="F30" s="13" t="s">
        <v>308</v>
      </c>
      <c r="G30" s="13" t="s">
        <v>310</v>
      </c>
      <c r="H30" s="13" t="s">
        <v>310</v>
      </c>
      <c r="I30" s="13" t="s">
        <v>310</v>
      </c>
      <c r="J30" s="13" t="s">
        <v>310</v>
      </c>
      <c r="K30" s="13" t="s">
        <v>310</v>
      </c>
      <c r="L30" s="13" t="s">
        <v>310</v>
      </c>
      <c r="M30" s="13" t="s">
        <v>310</v>
      </c>
      <c r="N30" s="13" t="s">
        <v>310</v>
      </c>
      <c r="O30" s="13" t="s">
        <v>310</v>
      </c>
      <c r="P30" s="13" t="s">
        <v>310</v>
      </c>
      <c r="Q30" s="13" t="s">
        <v>310</v>
      </c>
      <c r="R30" s="13" t="s">
        <v>310</v>
      </c>
      <c r="S30" s="27" t="n">
        <f aca="false">WORKDAY.INTL(DATE(2026,10,5),2,11)</f>
        <v>46302</v>
      </c>
    </row>
    <row r="31" customFormat="false" ht="15" hidden="false" customHeight="false" outlineLevel="0" collapsed="false">
      <c r="A31" s="13" t="s">
        <v>314</v>
      </c>
      <c r="B31" s="13" t="s">
        <v>28</v>
      </c>
      <c r="C31" s="13" t="n">
        <v>5</v>
      </c>
      <c r="D31" s="13" t="s">
        <v>295</v>
      </c>
      <c r="E31" s="13" t="s">
        <v>297</v>
      </c>
      <c r="F31" s="13" t="s">
        <v>299</v>
      </c>
      <c r="G31" s="13" t="s">
        <v>301</v>
      </c>
      <c r="H31" s="13" t="s">
        <v>303</v>
      </c>
      <c r="I31" s="13" t="s">
        <v>304</v>
      </c>
      <c r="J31" s="13" t="s">
        <v>306</v>
      </c>
      <c r="K31" s="13" t="s">
        <v>308</v>
      </c>
      <c r="L31" s="13" t="s">
        <v>310</v>
      </c>
      <c r="M31" s="13" t="s">
        <v>310</v>
      </c>
      <c r="N31" s="13" t="s">
        <v>310</v>
      </c>
      <c r="O31" s="13" t="s">
        <v>310</v>
      </c>
      <c r="P31" s="13" t="s">
        <v>310</v>
      </c>
      <c r="Q31" s="13" t="s">
        <v>310</v>
      </c>
      <c r="R31" s="13" t="s">
        <v>310</v>
      </c>
      <c r="S31" s="27" t="n">
        <f aca="false">WORKDAY.INTL(DATE(2026,10,5),7,11)</f>
        <v>46308</v>
      </c>
    </row>
    <row r="32" customFormat="false" ht="15" hidden="false" customHeight="false" outlineLevel="0" collapsed="false">
      <c r="A32" s="13" t="s">
        <v>315</v>
      </c>
      <c r="B32" s="13" t="s">
        <v>28</v>
      </c>
      <c r="C32" s="13" t="n">
        <v>1</v>
      </c>
      <c r="D32" s="13" t="s">
        <v>295</v>
      </c>
      <c r="E32" s="13" t="s">
        <v>297</v>
      </c>
      <c r="F32" s="13" t="s">
        <v>299</v>
      </c>
      <c r="G32" s="13" t="s">
        <v>301</v>
      </c>
      <c r="H32" s="13" t="s">
        <v>303</v>
      </c>
      <c r="I32" s="13" t="s">
        <v>304</v>
      </c>
      <c r="J32" s="13" t="s">
        <v>306</v>
      </c>
      <c r="K32" s="13" t="s">
        <v>308</v>
      </c>
      <c r="L32" s="13" t="s">
        <v>310</v>
      </c>
      <c r="M32" s="13" t="s">
        <v>310</v>
      </c>
      <c r="N32" s="13" t="s">
        <v>310</v>
      </c>
      <c r="O32" s="13" t="s">
        <v>310</v>
      </c>
      <c r="P32" s="13" t="s">
        <v>310</v>
      </c>
      <c r="Q32" s="13" t="s">
        <v>310</v>
      </c>
      <c r="R32" s="13" t="s">
        <v>310</v>
      </c>
      <c r="S32" s="27" t="n">
        <f aca="false">WORKDAY.INTL(DATE(2026,10,5),7,11)</f>
        <v>46308</v>
      </c>
    </row>
    <row r="33" customFormat="false" ht="15" hidden="false" customHeight="false" outlineLevel="0" collapsed="false">
      <c r="A33" s="13" t="s">
        <v>316</v>
      </c>
      <c r="B33" s="13" t="s">
        <v>28</v>
      </c>
      <c r="C33" s="13" t="n">
        <v>3</v>
      </c>
      <c r="D33" s="13" t="s">
        <v>297</v>
      </c>
      <c r="E33" s="13" t="s">
        <v>299</v>
      </c>
      <c r="F33" s="13" t="s">
        <v>301</v>
      </c>
      <c r="G33" s="13" t="s">
        <v>303</v>
      </c>
      <c r="H33" s="13" t="s">
        <v>304</v>
      </c>
      <c r="I33" s="13" t="s">
        <v>306</v>
      </c>
      <c r="J33" s="13" t="s">
        <v>308</v>
      </c>
      <c r="K33" s="13" t="s">
        <v>310</v>
      </c>
      <c r="L33" s="13" t="s">
        <v>310</v>
      </c>
      <c r="M33" s="13" t="s">
        <v>310</v>
      </c>
      <c r="N33" s="13" t="s">
        <v>310</v>
      </c>
      <c r="O33" s="13" t="s">
        <v>310</v>
      </c>
      <c r="P33" s="13" t="s">
        <v>310</v>
      </c>
      <c r="Q33" s="13" t="s">
        <v>310</v>
      </c>
      <c r="R33" s="13" t="s">
        <v>310</v>
      </c>
      <c r="S33" s="27" t="n">
        <f aca="false">WORKDAY.INTL(DATE(2026,10,5),6,11)</f>
        <v>46307</v>
      </c>
    </row>
    <row r="34" customFormat="false" ht="15" hidden="false" customHeight="false" outlineLevel="0" collapsed="false">
      <c r="A34" s="13" t="s">
        <v>317</v>
      </c>
      <c r="B34" s="13" t="s">
        <v>25</v>
      </c>
      <c r="C34" s="13" t="n">
        <v>2</v>
      </c>
      <c r="D34" s="13" t="s">
        <v>295</v>
      </c>
      <c r="E34" s="13" t="s">
        <v>297</v>
      </c>
      <c r="F34" s="13" t="s">
        <v>299</v>
      </c>
      <c r="G34" s="13" t="s">
        <v>301</v>
      </c>
      <c r="H34" s="13" t="s">
        <v>303</v>
      </c>
      <c r="I34" s="13" t="s">
        <v>304</v>
      </c>
      <c r="J34" s="13" t="s">
        <v>306</v>
      </c>
      <c r="K34" s="13" t="s">
        <v>308</v>
      </c>
      <c r="L34" s="13" t="s">
        <v>310</v>
      </c>
      <c r="M34" s="13" t="s">
        <v>310</v>
      </c>
      <c r="N34" s="13" t="s">
        <v>310</v>
      </c>
      <c r="O34" s="13" t="s">
        <v>310</v>
      </c>
      <c r="P34" s="13" t="s">
        <v>310</v>
      </c>
      <c r="Q34" s="13" t="s">
        <v>310</v>
      </c>
      <c r="R34" s="13" t="s">
        <v>310</v>
      </c>
      <c r="S34" s="27" t="n">
        <f aca="false">WORKDAY.INTL(DATE(2026,10,5),7,11)</f>
        <v>46308</v>
      </c>
    </row>
    <row r="35" customFormat="false" ht="15" hidden="false" customHeight="false" outlineLevel="0" collapsed="false">
      <c r="A35" s="13" t="s">
        <v>318</v>
      </c>
      <c r="B35" s="13" t="s">
        <v>25</v>
      </c>
      <c r="C35" s="13" t="n">
        <v>4</v>
      </c>
      <c r="D35" s="13" t="s">
        <v>295</v>
      </c>
      <c r="E35" s="13" t="s">
        <v>297</v>
      </c>
      <c r="F35" s="13" t="s">
        <v>299</v>
      </c>
      <c r="G35" s="13" t="s">
        <v>301</v>
      </c>
      <c r="H35" s="13" t="s">
        <v>303</v>
      </c>
      <c r="I35" s="13" t="s">
        <v>304</v>
      </c>
      <c r="J35" s="13" t="s">
        <v>306</v>
      </c>
      <c r="K35" s="13" t="s">
        <v>308</v>
      </c>
      <c r="L35" s="13" t="s">
        <v>310</v>
      </c>
      <c r="M35" s="13" t="s">
        <v>310</v>
      </c>
      <c r="N35" s="13" t="s">
        <v>310</v>
      </c>
      <c r="O35" s="13" t="s">
        <v>310</v>
      </c>
      <c r="P35" s="13" t="s">
        <v>310</v>
      </c>
      <c r="Q35" s="13" t="s">
        <v>310</v>
      </c>
      <c r="R35" s="13" t="s">
        <v>310</v>
      </c>
      <c r="S35" s="27" t="n">
        <f aca="false">WORKDAY.INTL(DATE(2026,10,5),7,11)</f>
        <v>46308</v>
      </c>
    </row>
    <row r="36" customFormat="false" ht="15" hidden="false" customHeight="false" outlineLevel="0" collapsed="false">
      <c r="A36" s="13" t="s">
        <v>313</v>
      </c>
      <c r="B36" s="13" t="s">
        <v>25</v>
      </c>
      <c r="C36" s="13" t="n">
        <v>9</v>
      </c>
      <c r="D36" s="13" t="s">
        <v>304</v>
      </c>
      <c r="E36" s="13" t="s">
        <v>306</v>
      </c>
      <c r="F36" s="13" t="s">
        <v>308</v>
      </c>
      <c r="G36" s="13" t="s">
        <v>310</v>
      </c>
      <c r="H36" s="13" t="s">
        <v>310</v>
      </c>
      <c r="I36" s="13" t="s">
        <v>310</v>
      </c>
      <c r="J36" s="13" t="s">
        <v>310</v>
      </c>
      <c r="K36" s="13" t="s">
        <v>310</v>
      </c>
      <c r="L36" s="13" t="s">
        <v>310</v>
      </c>
      <c r="M36" s="13" t="s">
        <v>310</v>
      </c>
      <c r="N36" s="13" t="s">
        <v>310</v>
      </c>
      <c r="O36" s="13" t="s">
        <v>310</v>
      </c>
      <c r="P36" s="13" t="s">
        <v>310</v>
      </c>
      <c r="Q36" s="13" t="s">
        <v>310</v>
      </c>
      <c r="R36" s="13" t="s">
        <v>310</v>
      </c>
      <c r="S36" s="27" t="n">
        <f aca="false">WORKDAY.INTL(DATE(2026,10,5),2,11)</f>
        <v>46302</v>
      </c>
    </row>
    <row r="37" customFormat="false" ht="15" hidden="false" customHeight="false" outlineLevel="0" collapsed="false">
      <c r="A37" s="13" t="s">
        <v>314</v>
      </c>
      <c r="B37" s="13" t="s">
        <v>25</v>
      </c>
      <c r="C37" s="13" t="n">
        <v>3</v>
      </c>
      <c r="D37" s="13" t="s">
        <v>295</v>
      </c>
      <c r="E37" s="13" t="s">
        <v>297</v>
      </c>
      <c r="F37" s="13" t="s">
        <v>299</v>
      </c>
      <c r="G37" s="13" t="s">
        <v>301</v>
      </c>
      <c r="H37" s="13" t="s">
        <v>303</v>
      </c>
      <c r="I37" s="13" t="s">
        <v>304</v>
      </c>
      <c r="J37" s="13" t="s">
        <v>306</v>
      </c>
      <c r="K37" s="13" t="s">
        <v>308</v>
      </c>
      <c r="L37" s="13" t="s">
        <v>310</v>
      </c>
      <c r="M37" s="13" t="s">
        <v>310</v>
      </c>
      <c r="N37" s="13" t="s">
        <v>310</v>
      </c>
      <c r="O37" s="13" t="s">
        <v>310</v>
      </c>
      <c r="P37" s="13" t="s">
        <v>310</v>
      </c>
      <c r="Q37" s="13" t="s">
        <v>310</v>
      </c>
      <c r="R37" s="13" t="s">
        <v>310</v>
      </c>
      <c r="S37" s="27" t="n">
        <f aca="false">WORKDAY.INTL(DATE(2026,10,5),7,11)</f>
        <v>46308</v>
      </c>
    </row>
    <row r="38" customFormat="false" ht="15" hidden="false" customHeight="false" outlineLevel="0" collapsed="false">
      <c r="A38" s="13" t="s">
        <v>315</v>
      </c>
      <c r="B38" s="13" t="s">
        <v>25</v>
      </c>
      <c r="C38" s="13" t="n">
        <v>1</v>
      </c>
      <c r="D38" s="13" t="s">
        <v>295</v>
      </c>
      <c r="E38" s="13" t="s">
        <v>297</v>
      </c>
      <c r="F38" s="13" t="s">
        <v>299</v>
      </c>
      <c r="G38" s="13" t="s">
        <v>301</v>
      </c>
      <c r="H38" s="13" t="s">
        <v>303</v>
      </c>
      <c r="I38" s="13" t="s">
        <v>304</v>
      </c>
      <c r="J38" s="13" t="s">
        <v>306</v>
      </c>
      <c r="K38" s="13" t="s">
        <v>308</v>
      </c>
      <c r="L38" s="13" t="s">
        <v>310</v>
      </c>
      <c r="M38" s="13" t="s">
        <v>310</v>
      </c>
      <c r="N38" s="13" t="s">
        <v>310</v>
      </c>
      <c r="O38" s="13" t="s">
        <v>310</v>
      </c>
      <c r="P38" s="13" t="s">
        <v>310</v>
      </c>
      <c r="Q38" s="13" t="s">
        <v>310</v>
      </c>
      <c r="R38" s="13" t="s">
        <v>310</v>
      </c>
      <c r="S38" s="27" t="n">
        <f aca="false">WORKDAY.INTL(DATE(2026,10,5),7,11)</f>
        <v>46308</v>
      </c>
    </row>
    <row r="39" customFormat="false" ht="15" hidden="false" customHeight="false" outlineLevel="0" collapsed="false">
      <c r="A39" s="13" t="s">
        <v>318</v>
      </c>
      <c r="B39" s="13" t="s">
        <v>68</v>
      </c>
      <c r="C39" s="13" t="n">
        <v>1</v>
      </c>
      <c r="D39" s="13" t="s">
        <v>295</v>
      </c>
      <c r="E39" s="13" t="s">
        <v>297</v>
      </c>
      <c r="F39" s="13" t="s">
        <v>299</v>
      </c>
      <c r="G39" s="13" t="s">
        <v>301</v>
      </c>
      <c r="H39" s="13" t="s">
        <v>303</v>
      </c>
      <c r="I39" s="13" t="s">
        <v>304</v>
      </c>
      <c r="J39" s="13" t="s">
        <v>306</v>
      </c>
      <c r="K39" s="13" t="s">
        <v>308</v>
      </c>
      <c r="L39" s="13" t="s">
        <v>310</v>
      </c>
      <c r="M39" s="13" t="s">
        <v>310</v>
      </c>
      <c r="N39" s="13" t="s">
        <v>310</v>
      </c>
      <c r="O39" s="13" t="s">
        <v>310</v>
      </c>
      <c r="P39" s="13" t="s">
        <v>310</v>
      </c>
      <c r="Q39" s="13" t="s">
        <v>310</v>
      </c>
      <c r="R39" s="13" t="s">
        <v>310</v>
      </c>
      <c r="S39" s="27" t="n">
        <f aca="false">WORKDAY.INTL(DATE(2026,10,5),7,11)</f>
        <v>46308</v>
      </c>
    </row>
    <row r="40" customFormat="false" ht="15" hidden="false" customHeight="false" outlineLevel="0" collapsed="false">
      <c r="A40" s="13" t="s">
        <v>313</v>
      </c>
      <c r="B40" s="13" t="s">
        <v>68</v>
      </c>
      <c r="C40" s="13" t="n">
        <v>1</v>
      </c>
      <c r="D40" s="13" t="s">
        <v>295</v>
      </c>
      <c r="E40" s="13" t="s">
        <v>297</v>
      </c>
      <c r="F40" s="13" t="s">
        <v>299</v>
      </c>
      <c r="G40" s="13" t="s">
        <v>301</v>
      </c>
      <c r="H40" s="13" t="s">
        <v>303</v>
      </c>
      <c r="I40" s="13" t="s">
        <v>304</v>
      </c>
      <c r="J40" s="13" t="s">
        <v>306</v>
      </c>
      <c r="K40" s="13" t="s">
        <v>308</v>
      </c>
      <c r="L40" s="13" t="s">
        <v>310</v>
      </c>
      <c r="M40" s="13" t="s">
        <v>310</v>
      </c>
      <c r="N40" s="13" t="s">
        <v>310</v>
      </c>
      <c r="O40" s="13" t="s">
        <v>310</v>
      </c>
      <c r="P40" s="13" t="s">
        <v>310</v>
      </c>
      <c r="Q40" s="13" t="s">
        <v>310</v>
      </c>
      <c r="R40" s="13" t="s">
        <v>310</v>
      </c>
      <c r="S40" s="27" t="n">
        <f aca="false">WORKDAY.INTL(DATE(2026,10,5),7,11)</f>
        <v>46308</v>
      </c>
    </row>
    <row r="41" customFormat="false" ht="15" hidden="false" customHeight="false" outlineLevel="0" collapsed="false">
      <c r="A41" s="13" t="s">
        <v>314</v>
      </c>
      <c r="B41" s="13" t="s">
        <v>68</v>
      </c>
      <c r="C41" s="13" t="n">
        <v>2</v>
      </c>
      <c r="D41" s="13" t="s">
        <v>295</v>
      </c>
      <c r="E41" s="13" t="s">
        <v>297</v>
      </c>
      <c r="F41" s="13" t="s">
        <v>299</v>
      </c>
      <c r="G41" s="13" t="s">
        <v>301</v>
      </c>
      <c r="H41" s="13" t="s">
        <v>303</v>
      </c>
      <c r="I41" s="13" t="s">
        <v>304</v>
      </c>
      <c r="J41" s="13" t="s">
        <v>306</v>
      </c>
      <c r="K41" s="13" t="s">
        <v>308</v>
      </c>
      <c r="L41" s="13" t="s">
        <v>310</v>
      </c>
      <c r="M41" s="13" t="s">
        <v>310</v>
      </c>
      <c r="N41" s="13" t="s">
        <v>310</v>
      </c>
      <c r="O41" s="13" t="s">
        <v>310</v>
      </c>
      <c r="P41" s="13" t="s">
        <v>310</v>
      </c>
      <c r="Q41" s="13" t="s">
        <v>310</v>
      </c>
      <c r="R41" s="13" t="s">
        <v>310</v>
      </c>
      <c r="S41" s="27" t="n">
        <f aca="false">WORKDAY.INTL(DATE(2026,10,5),7,11)</f>
        <v>46308</v>
      </c>
    </row>
    <row r="42" customFormat="false" ht="15" hidden="false" customHeight="false" outlineLevel="0" collapsed="false">
      <c r="A42" s="13" t="s">
        <v>319</v>
      </c>
      <c r="B42" s="13" t="s">
        <v>68</v>
      </c>
      <c r="C42" s="13" t="n">
        <v>1</v>
      </c>
      <c r="D42" s="13" t="s">
        <v>295</v>
      </c>
      <c r="E42" s="13" t="s">
        <v>297</v>
      </c>
      <c r="F42" s="13" t="s">
        <v>299</v>
      </c>
      <c r="G42" s="13" t="s">
        <v>301</v>
      </c>
      <c r="H42" s="13" t="s">
        <v>303</v>
      </c>
      <c r="I42" s="13" t="s">
        <v>304</v>
      </c>
      <c r="J42" s="13" t="s">
        <v>306</v>
      </c>
      <c r="K42" s="13" t="s">
        <v>308</v>
      </c>
      <c r="L42" s="13" t="s">
        <v>310</v>
      </c>
      <c r="M42" s="13" t="s">
        <v>310</v>
      </c>
      <c r="N42" s="13" t="s">
        <v>310</v>
      </c>
      <c r="O42" s="13" t="s">
        <v>310</v>
      </c>
      <c r="P42" s="13" t="s">
        <v>310</v>
      </c>
      <c r="Q42" s="13" t="s">
        <v>310</v>
      </c>
      <c r="R42" s="13" t="s">
        <v>310</v>
      </c>
      <c r="S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313</v>
      </c>
      <c r="B43" s="13" t="s">
        <v>72</v>
      </c>
      <c r="C43" s="13" t="n">
        <v>3</v>
      </c>
      <c r="D43" s="13" t="s">
        <v>293</v>
      </c>
      <c r="E43" s="13" t="s">
        <v>295</v>
      </c>
      <c r="F43" s="13" t="s">
        <v>297</v>
      </c>
      <c r="G43" s="13" t="s">
        <v>299</v>
      </c>
      <c r="H43" s="13" t="s">
        <v>301</v>
      </c>
      <c r="I43" s="13" t="s">
        <v>303</v>
      </c>
      <c r="J43" s="13" t="s">
        <v>304</v>
      </c>
      <c r="K43" s="13" t="s">
        <v>306</v>
      </c>
      <c r="L43" s="13" t="s">
        <v>308</v>
      </c>
      <c r="M43" s="13" t="s">
        <v>310</v>
      </c>
      <c r="N43" s="13" t="s">
        <v>310</v>
      </c>
      <c r="O43" s="13" t="s">
        <v>310</v>
      </c>
      <c r="P43" s="13" t="s">
        <v>310</v>
      </c>
      <c r="Q43" s="13" t="s">
        <v>310</v>
      </c>
      <c r="R43" s="13" t="s">
        <v>310</v>
      </c>
      <c r="S43" s="27" t="n">
        <f aca="false">WORKDAY.INTL(DATE(2026,10,5),8,11)</f>
        <v>46309</v>
      </c>
    </row>
    <row r="44" customFormat="false" ht="15" hidden="false" customHeight="false" outlineLevel="0" collapsed="false">
      <c r="A44" s="13" t="s">
        <v>315</v>
      </c>
      <c r="B44" s="13" t="s">
        <v>72</v>
      </c>
      <c r="C44" s="13" t="n">
        <v>1</v>
      </c>
      <c r="D44" s="13" t="s">
        <v>293</v>
      </c>
      <c r="E44" s="13" t="s">
        <v>295</v>
      </c>
      <c r="F44" s="13" t="s">
        <v>297</v>
      </c>
      <c r="G44" s="13" t="s">
        <v>299</v>
      </c>
      <c r="H44" s="13" t="s">
        <v>301</v>
      </c>
      <c r="I44" s="13" t="s">
        <v>303</v>
      </c>
      <c r="J44" s="13" t="s">
        <v>304</v>
      </c>
      <c r="K44" s="13" t="s">
        <v>306</v>
      </c>
      <c r="L44" s="13" t="s">
        <v>308</v>
      </c>
      <c r="M44" s="13" t="s">
        <v>310</v>
      </c>
      <c r="N44" s="13" t="s">
        <v>310</v>
      </c>
      <c r="O44" s="13" t="s">
        <v>310</v>
      </c>
      <c r="P44" s="13" t="s">
        <v>310</v>
      </c>
      <c r="Q44" s="13" t="s">
        <v>310</v>
      </c>
      <c r="R44" s="13" t="s">
        <v>310</v>
      </c>
      <c r="S44" s="27" t="n">
        <f aca="false">WORKDAY.INTL(DATE(2026,10,5),8,11)</f>
        <v>46309</v>
      </c>
    </row>
    <row r="46" customFormat="false" ht="15" hidden="false" customHeight="false" outlineLevel="0" collapsed="false">
      <c r="A46" s="20" t="s">
        <v>320</v>
      </c>
    </row>
    <row r="47" customFormat="false" ht="15" hidden="false" customHeight="false" outlineLevel="0" collapsed="false">
      <c r="A47" s="20" t="s">
        <v>321</v>
      </c>
    </row>
    <row r="48" customFormat="false" ht="15" hidden="false" customHeight="false" outlineLevel="0" collapsed="false">
      <c r="A48" s="20" t="s">
        <v>322</v>
      </c>
    </row>
    <row r="49" customFormat="false" ht="15" hidden="false" customHeight="false" outlineLevel="0" collapsed="false">
      <c r="A49" s="20" t="s">
        <v>323</v>
      </c>
    </row>
    <row r="50" customFormat="false" ht="15" hidden="false" customHeight="false" outlineLevel="0" collapsed="false">
      <c r="A50" s="20" t="s">
        <v>324</v>
      </c>
    </row>
    <row r="51" customFormat="false" ht="15" hidden="false" customHeight="false" outlineLevel="0" collapsed="false">
      <c r="A51" s="20" t="s">
        <v>325</v>
      </c>
    </row>
    <row r="52" customFormat="false" ht="15" hidden="false" customHeight="false" outlineLevel="0" collapsed="false">
      <c r="A52" s="20" t="s">
        <v>326</v>
      </c>
    </row>
    <row r="53" customFormat="false" ht="15" hidden="false" customHeight="false" outlineLevel="0" collapsed="false">
      <c r="A53" s="20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328</v>
      </c>
    </row>
    <row r="3" customFormat="false" ht="31.5" hidden="false" customHeight="true" outlineLevel="0" collapsed="false">
      <c r="A3" s="2" t="s">
        <v>267</v>
      </c>
      <c r="B3" s="2" t="s">
        <v>268</v>
      </c>
      <c r="C3" s="2" t="s">
        <v>16</v>
      </c>
      <c r="D3" s="2" t="s">
        <v>329</v>
      </c>
      <c r="E3" s="2" t="s">
        <v>288</v>
      </c>
      <c r="F3" s="2" t="s">
        <v>290</v>
      </c>
      <c r="G3" s="2" t="s">
        <v>292</v>
      </c>
      <c r="H3" s="2" t="s">
        <v>293</v>
      </c>
      <c r="I3" s="2" t="s">
        <v>295</v>
      </c>
      <c r="J3" s="2" t="s">
        <v>297</v>
      </c>
      <c r="K3" s="2" t="s">
        <v>299</v>
      </c>
      <c r="L3" s="2" t="s">
        <v>301</v>
      </c>
      <c r="M3" s="2" t="s">
        <v>303</v>
      </c>
      <c r="N3" s="2" t="s">
        <v>304</v>
      </c>
      <c r="O3" s="2" t="s">
        <v>306</v>
      </c>
      <c r="P3" s="2" t="s">
        <v>308</v>
      </c>
    </row>
    <row r="4" customFormat="false" ht="15" hidden="false" customHeight="false" outlineLevel="0" collapsed="false">
      <c r="A4" s="3" t="s">
        <v>311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309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309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309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307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307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305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305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302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302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300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300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298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298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298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296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294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291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289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289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287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287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285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285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285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30" customFormat="false" ht="15" hidden="false" customHeight="false" outlineLevel="0" collapsed="false">
      <c r="A30" s="20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2026-10-23T05:55:47Z</dcterms:created>
  <dc:creator>openpyxl</dc:creator>
  <dc:description/>
  <dc:language>en-US</dc:language>
  <cp:lastModifiedBy/>
  <dcterms:modified xsi:type="dcterms:W3CDTF">2026-10-23T05:55:47Z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