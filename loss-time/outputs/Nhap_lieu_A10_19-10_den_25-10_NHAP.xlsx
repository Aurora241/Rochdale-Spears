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chining" sheetId="1" state="visible" r:id="rId3"/>
    <sheet name="Raw Cutting" sheetId="2" state="visible" r:id="rId4"/>
    <sheet name="Đối chiếu báo cáo bảo trì"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<sst xmlns="http://schemas.openxmlformats.org/spreadsheetml/2006/main" count="119" uniqueCount="72">
  <si>
    <t xml:space="preserve">BẢNG NHẬP LIỆU - MACHINING</t>
  </si>
  <si>
    <t xml:space="preserve">BẢN NHÁP: cột Worker Qty đang lấy theo cột số cuối của báo cáo bảo trì (12 hoặc 24), CẦN XÁC NHẬN đó có phải số công nhân bị ảnh hưởng không. Thứ tự cố định: theo ngày, trong mỗi ngày theo mã P20, P26, P22, A2. Nhập đúng thứ tự cột như form: LossTime Code | Notes | Process | Dept In Charge | From | To | Worker Qty. Nhập xong dòng nào thì đánh dấu X cột "Đã nhập".</t>
  </si>
  <si>
    <t xml:space="preserve">Ngày (Loss Date)</t>
  </si>
  <si>
    <t xml:space="preserve">LossTime Code</t>
  </si>
  <si>
    <t xml:space="preserve">Notes</t>
  </si>
  <si>
    <t xml:space="preserve">Process</t>
  </si>
  <si>
    <t xml:space="preserve">Dept In Charge</t>
  </si>
  <si>
    <t xml:space="preserve">From</t>
  </si>
  <si>
    <t xml:space="preserve">To</t>
  </si>
  <si>
    <t xml:space="preserve">Worker Qty</t>
  </si>
  <si>
    <t xml:space="preserve">Giờ công (tham khảo)</t>
  </si>
  <si>
    <t xml:space="preserve">Đã nhập</t>
  </si>
  <si>
    <t xml:space="preserve">Thứ Hai 19/10/2026: 2 dòng</t>
  </si>
  <si>
    <t xml:space="preserve">A10</t>
  </si>
  <si>
    <t xml:space="preserve">CNCR02-Máy CNC-Lỗi nút bấm</t>
  </si>
  <si>
    <t xml:space="preserve">Machining</t>
  </si>
  <si>
    <t xml:space="preserve">MAINTENANCE</t>
  </si>
  <si>
    <t xml:space="preserve">EDB01-Máy dán cạnh thẳng tự động-Lỗi hộp số</t>
  </si>
  <si>
    <t xml:space="preserve">Thứ Ba 20/10/2026: 2 dòng</t>
  </si>
  <si>
    <t xml:space="preserve">CNCR09-Máy chép hình thẳng-Lỗi trục không quay</t>
  </si>
  <si>
    <t xml:space="preserve">EDB05-Máy dán cạnh thẳng tự động-Lỗi nồi keo</t>
  </si>
  <si>
    <t xml:space="preserve">Thứ Năm 22/10/2026: 1 dòng</t>
  </si>
  <si>
    <t xml:space="preserve">CNCR20-Máy CNC-Gãy giá đỡ dây điện</t>
  </si>
  <si>
    <t xml:space="preserve">Thứ Bảy 24/10/2026: 1 dòng</t>
  </si>
  <si>
    <t xml:space="preserve">CNCR11-Hogmag-Lỗi hút chân không</t>
  </si>
  <si>
    <t xml:space="preserve">Tổng</t>
  </si>
  <si>
    <t xml:space="preserve">BẢNG NHẬP LIỆU - RAW CUTTING</t>
  </si>
  <si>
    <t xml:space="preserve">Thứ Ba 20/10/2026: 1 dòng</t>
  </si>
  <si>
    <t xml:space="preserve">Máy bơm sơn chuyền UV-Máy bơm sơn không hoạt động</t>
  </si>
  <si>
    <t xml:space="preserve">Raw Cutting</t>
  </si>
  <si>
    <t xml:space="preserve">Thứ Tư 21/10/2026: 1 dòng</t>
  </si>
  <si>
    <t xml:space="preserve">VEC04-Máy cắt veneer-Máy tự cắt</t>
  </si>
  <si>
    <t xml:space="preserve">Chủ nhật 25/10/2026: 1 dòng</t>
  </si>
  <si>
    <t xml:space="preserve">VC14-Máy hút chân không-Lỗi hút chân không</t>
  </si>
  <si>
    <t xml:space="preserve">ĐỐI CHIẾU VỚI BÁO CÁO BẢO TRÌ (Mr.Phong - Mr.Khiêm, Maint) 19/10-25/10</t>
  </si>
  <si>
    <t xml:space="preserve">Ngày</t>
  </si>
  <si>
    <t xml:space="preserve">Khu vực (báo cáo)</t>
  </si>
  <si>
    <t xml:space="preserve">Mã máy</t>
  </si>
  <si>
    <t xml:space="preserve">Tên máy</t>
  </si>
  <si>
    <t xml:space="preserve">Hiện tượng</t>
  </si>
  <si>
    <t xml:space="preserve">Từ</t>
  </si>
  <si>
    <t xml:space="preserve">Đến</t>
  </si>
  <si>
    <t xml:space="preserve">Giờ dừng báo cáo</t>
  </si>
  <si>
    <t xml:space="preserve">Giờ dừng tính lại</t>
  </si>
  <si>
    <t xml:space="preserve">Chênh lệch</t>
  </si>
  <si>
    <t xml:space="preserve">Cột số cuối (12/24)</t>
  </si>
  <si>
    <t xml:space="preserve">Giờ công = giờ dừng x cột số cuối</t>
  </si>
  <si>
    <t xml:space="preserve">CNCR02</t>
  </si>
  <si>
    <t xml:space="preserve">Máy CNC</t>
  </si>
  <si>
    <t xml:space="preserve">Lỗi nút bấm</t>
  </si>
  <si>
    <t xml:space="preserve">RC</t>
  </si>
  <si>
    <t xml:space="preserve">Máy bơm sơn chuyền UV</t>
  </si>
  <si>
    <t xml:space="preserve">Máy bơm sơn không hoạt động</t>
  </si>
  <si>
    <t xml:space="preserve">EDB01</t>
  </si>
  <si>
    <t xml:space="preserve">Máy dán cạnh thẳng tự động</t>
  </si>
  <si>
    <t xml:space="preserve">Lỗi hộp số</t>
  </si>
  <si>
    <t xml:space="preserve">EDB05</t>
  </si>
  <si>
    <t xml:space="preserve">Lỗi nồi keo</t>
  </si>
  <si>
    <t xml:space="preserve">CNCR09</t>
  </si>
  <si>
    <t xml:space="preserve">Máy chép hình thẳng</t>
  </si>
  <si>
    <t xml:space="preserve">Lỗi trục không quay</t>
  </si>
  <si>
    <t xml:space="preserve">VEC04</t>
  </si>
  <si>
    <t xml:space="preserve">Máy cắt veneer</t>
  </si>
  <si>
    <t xml:space="preserve">Máy tự cắt</t>
  </si>
  <si>
    <t xml:space="preserve">CNCR20</t>
  </si>
  <si>
    <t xml:space="preserve">Gãy giá đỡ dây điện</t>
  </si>
  <si>
    <t xml:space="preserve">CNCR11</t>
  </si>
  <si>
    <t xml:space="preserve">Hogmag</t>
  </si>
  <si>
    <t xml:space="preserve">Lỗi hút chân không</t>
  </si>
  <si>
    <t xml:space="preserve">VC14</t>
  </si>
  <si>
    <t xml:space="preserve">Máy hút chân không</t>
  </si>
  <si>
    <t xml:space="preserve">Ghi chú: 20/10 máy bơm sơn chuyền UV không có mã máy trong báo cáo. 25/10 là Chủ nhật, báo cáo ghi sự cố máy VC14 khu vực RC (cần xác nhận Raw Cutting có làm hôm đó không). EDB05 ngày 20/10 dừng đến 21:00 (sau giờ tăng ca 20:00).</t>
  </si>
</sst>
</file>

<file path=xl/styles.xml><?xml version="1.0" encoding="utf-8"?>
<styleSheet xmlns="http://schemas.openxmlformats.org/spreadsheetml/2006/main">
  <numFmts count="6">
    <numFmt numFmtId="164" formatCode="General"/>
    <numFmt numFmtId="165" formatCode="0.0"/>
    <numFmt numFmtId="166" formatCode="dd/mm/yyyy"/>
    <numFmt numFmtId="167" formatCode="hh:mm"/>
    <numFmt numFmtId="168" formatCode="#,##0.0"/>
    <numFmt numFmtId="169" formatCode="0.00"/>
  </numFmts>
  <fonts count="11">
    <font>
      <sz val="11"/>
      <color theme="1"/>
      <name val="Calibri"/>
      <family val="2"/>
      <charset val="1"/>
    </font>
    <font>
      <sz val="10"/>
      <name val="Arial"/>
      <family val="0"/>
    </font>
    <font>
      <sz val="10"/>
      <name val="Arial"/>
      <family val="0"/>
    </font>
    <font>
      <sz val="10"/>
      <name val="Arial"/>
      <family val="0"/>
    </font>
    <font>
      <b val="true"/>
      <sz val="14"/>
      <name val="Times New Roman"/>
      <family val="0"/>
      <charset val="1"/>
    </font>
    <font>
      <i val="true"/>
      <sz val="11"/>
      <color rgb="FFC00000"/>
      <name val="Times New Roman"/>
      <family val="0"/>
      <charset val="1"/>
    </font>
    <font>
      <b val="true"/>
      <sz val="11"/>
      <color rgb="FFFFFFFF"/>
      <name val="Times New Roman"/>
      <family val="0"/>
      <charset val="1"/>
    </font>
    <font>
      <b val="true"/>
      <sz val="11"/>
      <name val="Times New Roman"/>
      <family val="0"/>
      <charset val="1"/>
    </font>
    <font>
      <sz val="11"/>
      <name val="Times New Roman"/>
      <family val="0"/>
      <charset val="1"/>
    </font>
    <font>
      <b val="true"/>
      <sz val="13"/>
      <name val="Times New Roman"/>
      <family val="0"/>
      <charset val="1"/>
    </font>
    <font>
      <i val="true"/>
      <sz val="11"/>
      <name val="Times New Roman"/>
      <family val="0"/>
      <charset val="1"/>
    </font>
  </fonts>
  <fills count="5">
    <fill>
      <patternFill patternType="none"/>
    </fill>
    <fill>
      <patternFill patternType="gray125"/>
    </fill>
    <fill>
      <patternFill patternType="solid">
        <fgColor rgb="FFC00000"/>
        <bgColor rgb="FF800000"/>
      </patternFill>
    </fill>
    <fill>
      <patternFill patternType="solid">
        <fgColor rgb="FFD9D9D9"/>
        <bgColor rgb="FFC0C0C0"/>
      </patternFill>
    </fill>
    <fill>
      <patternFill patternType="solid">
        <fgColor rgb="FF1F4E78"/>
        <bgColor rgb="FF003366"/>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5" fontId="6" fillId="4" borderId="0" xfId="0" applyFont="true" applyBorder="false" applyAlignment="fals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9" fontId="8" fillId="0"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46"/>
    <col collapsed="false" customWidth="true" hidden="false" outlineLevel="0" max="4" min="4" style="0" width="14"/>
    <col collapsed="false" customWidth="true" hidden="false" outlineLevel="0" max="5" min="5" style="0" width="18"/>
    <col collapsed="false" customWidth="true" hidden="false" outlineLevel="0" max="7" min="6" style="0" width="8"/>
    <col collapsed="false" customWidth="true" hidden="false" outlineLevel="0" max="8" min="8" style="0" width="10"/>
    <col collapsed="false" customWidth="true" hidden="false" outlineLevel="0" max="9" min="9" style="0" width="12"/>
    <col collapsed="false" customWidth="true" hidden="false" outlineLevel="0" max="10" min="10" style="0" width="9"/>
  </cols>
  <sheetData>
    <row r="1" customFormat="false" ht="17.35" hidden="false" customHeight="false" outlineLevel="0" collapsed="false">
      <c r="A1" s="1" t="s">
        <v>0</v>
      </c>
    </row>
    <row r="2" customFormat="false" ht="15" hidden="false" customHeight="false" outlineLevel="0" collapsed="false">
      <c r="A2" s="2" t="s">
        <v>1</v>
      </c>
    </row>
    <row r="4" customFormat="false" ht="31.5" hidden="false" customHeight="true" outlineLevel="0" collapsed="false">
      <c r="A4" s="3" t="s">
        <v>2</v>
      </c>
      <c r="B4" s="3" t="s">
        <v>3</v>
      </c>
      <c r="C4" s="3" t="s">
        <v>4</v>
      </c>
      <c r="D4" s="3" t="s">
        <v>5</v>
      </c>
      <c r="E4" s="3" t="s">
        <v>6</v>
      </c>
      <c r="F4" s="3" t="s">
        <v>7</v>
      </c>
      <c r="G4" s="3" t="s">
        <v>8</v>
      </c>
      <c r="H4" s="3" t="s">
        <v>9</v>
      </c>
      <c r="I4" s="4" t="s">
        <v>10</v>
      </c>
      <c r="J4" s="4" t="s">
        <v>11</v>
      </c>
    </row>
    <row r="5" customFormat="false" ht="15" hidden="false" customHeight="false" outlineLevel="0" collapsed="false">
      <c r="A5" s="5" t="s">
        <v>12</v>
      </c>
      <c r="B5" s="5"/>
      <c r="C5" s="5"/>
      <c r="D5" s="5"/>
      <c r="E5" s="5"/>
      <c r="F5" s="5"/>
      <c r="G5" s="5"/>
      <c r="H5" s="5"/>
      <c r="I5" s="6" t="n">
        <f aca="false">SUM(I6:I7)</f>
        <v>30.8</v>
      </c>
      <c r="J5" s="5"/>
    </row>
    <row r="6" customFormat="false" ht="15" hidden="false" customHeight="false" outlineLevel="0" collapsed="false">
      <c r="A6" s="7" t="n">
        <v>46314</v>
      </c>
      <c r="B6" s="8" t="s">
        <v>13</v>
      </c>
      <c r="C6" s="9" t="s">
        <v>14</v>
      </c>
      <c r="D6" s="8" t="s">
        <v>15</v>
      </c>
      <c r="E6" s="8" t="s">
        <v>16</v>
      </c>
      <c r="F6" s="10" t="n">
        <v>0.321527777777778</v>
      </c>
      <c r="G6" s="10" t="n">
        <v>0.354166666666667</v>
      </c>
      <c r="H6" s="8" t="n">
        <v>24</v>
      </c>
      <c r="I6" s="11" t="n">
        <f aca="false">(G6-F6)*24*H6</f>
        <v>18.8</v>
      </c>
      <c r="J6" s="8"/>
    </row>
    <row r="7" customFormat="false" ht="15" hidden="false" customHeight="false" outlineLevel="0" collapsed="false">
      <c r="A7" s="7" t="n">
        <v>46314</v>
      </c>
      <c r="B7" s="8" t="s">
        <v>13</v>
      </c>
      <c r="C7" s="9" t="s">
        <v>17</v>
      </c>
      <c r="D7" s="8" t="s">
        <v>15</v>
      </c>
      <c r="E7" s="8" t="s">
        <v>16</v>
      </c>
      <c r="F7" s="10" t="n">
        <v>0.78125</v>
      </c>
      <c r="G7" s="10" t="n">
        <v>0.822916666666667</v>
      </c>
      <c r="H7" s="8" t="n">
        <v>12</v>
      </c>
      <c r="I7" s="11" t="n">
        <f aca="false">(G7-F7)*24*H7</f>
        <v>12</v>
      </c>
      <c r="J7" s="8"/>
    </row>
    <row r="9" customFormat="false" ht="15" hidden="false" customHeight="false" outlineLevel="0" collapsed="false">
      <c r="A9" s="5" t="s">
        <v>18</v>
      </c>
      <c r="B9" s="5"/>
      <c r="C9" s="5"/>
      <c r="D9" s="5"/>
      <c r="E9" s="5"/>
      <c r="F9" s="5"/>
      <c r="G9" s="5"/>
      <c r="H9" s="5"/>
      <c r="I9" s="6" t="n">
        <f aca="false">SUM(I10:I11)</f>
        <v>60</v>
      </c>
      <c r="J9" s="5"/>
    </row>
    <row r="10" customFormat="false" ht="15" hidden="false" customHeight="false" outlineLevel="0" collapsed="false">
      <c r="A10" s="7" t="n">
        <v>46315</v>
      </c>
      <c r="B10" s="8" t="s">
        <v>13</v>
      </c>
      <c r="C10" s="9" t="s">
        <v>19</v>
      </c>
      <c r="D10" s="8" t="s">
        <v>15</v>
      </c>
      <c r="E10" s="8" t="s">
        <v>16</v>
      </c>
      <c r="F10" s="10" t="n">
        <v>0.743055555555556</v>
      </c>
      <c r="G10" s="10" t="n">
        <v>0.826388888888889</v>
      </c>
      <c r="H10" s="8" t="n">
        <v>12</v>
      </c>
      <c r="I10" s="11" t="n">
        <f aca="false">(G10-F10)*24*H10</f>
        <v>24</v>
      </c>
      <c r="J10" s="8"/>
    </row>
    <row r="11" customFormat="false" ht="15" hidden="false" customHeight="false" outlineLevel="0" collapsed="false">
      <c r="A11" s="7" t="n">
        <v>46315</v>
      </c>
      <c r="B11" s="8" t="s">
        <v>13</v>
      </c>
      <c r="C11" s="9" t="s">
        <v>20</v>
      </c>
      <c r="D11" s="8" t="s">
        <v>15</v>
      </c>
      <c r="E11" s="8" t="s">
        <v>16</v>
      </c>
      <c r="F11" s="10" t="n">
        <v>0.75</v>
      </c>
      <c r="G11" s="10" t="n">
        <v>0.875</v>
      </c>
      <c r="H11" s="8" t="n">
        <v>12</v>
      </c>
      <c r="I11" s="11" t="n">
        <f aca="false">(G11-F11)*24*H11</f>
        <v>36</v>
      </c>
      <c r="J11" s="8"/>
    </row>
    <row r="13" customFormat="false" ht="15" hidden="false" customHeight="false" outlineLevel="0" collapsed="false">
      <c r="A13" s="5" t="s">
        <v>21</v>
      </c>
      <c r="B13" s="5"/>
      <c r="C13" s="5"/>
      <c r="D13" s="5"/>
      <c r="E13" s="5"/>
      <c r="F13" s="5"/>
      <c r="G13" s="5"/>
      <c r="H13" s="5"/>
      <c r="I13" s="6" t="n">
        <f aca="false">SUM(I14:I14)</f>
        <v>10.2</v>
      </c>
      <c r="J13" s="5"/>
    </row>
    <row r="14" customFormat="false" ht="15" hidden="false" customHeight="false" outlineLevel="0" collapsed="false">
      <c r="A14" s="7" t="n">
        <v>46317</v>
      </c>
      <c r="B14" s="8" t="s">
        <v>13</v>
      </c>
      <c r="C14" s="9" t="s">
        <v>22</v>
      </c>
      <c r="D14" s="8" t="s">
        <v>15</v>
      </c>
      <c r="E14" s="8" t="s">
        <v>16</v>
      </c>
      <c r="F14" s="10" t="n">
        <v>0.700694444444444</v>
      </c>
      <c r="G14" s="10" t="n">
        <v>0.736111111111111</v>
      </c>
      <c r="H14" s="8" t="n">
        <v>12</v>
      </c>
      <c r="I14" s="11" t="n">
        <f aca="false">(G14-F14)*24*H14</f>
        <v>10.2</v>
      </c>
      <c r="J14" s="8"/>
    </row>
    <row r="16" customFormat="false" ht="15" hidden="false" customHeight="false" outlineLevel="0" collapsed="false">
      <c r="A16" s="5" t="s">
        <v>23</v>
      </c>
      <c r="B16" s="5"/>
      <c r="C16" s="5"/>
      <c r="D16" s="5"/>
      <c r="E16" s="5"/>
      <c r="F16" s="5"/>
      <c r="G16" s="5"/>
      <c r="H16" s="5"/>
      <c r="I16" s="6" t="n">
        <f aca="false">SUM(I17:I17)</f>
        <v>2.6</v>
      </c>
      <c r="J16" s="5"/>
    </row>
    <row r="17" customFormat="false" ht="15" hidden="false" customHeight="false" outlineLevel="0" collapsed="false">
      <c r="A17" s="7" t="n">
        <v>46319</v>
      </c>
      <c r="B17" s="8" t="s">
        <v>13</v>
      </c>
      <c r="C17" s="9" t="s">
        <v>24</v>
      </c>
      <c r="D17" s="8" t="s">
        <v>15</v>
      </c>
      <c r="E17" s="8" t="s">
        <v>16</v>
      </c>
      <c r="F17" s="10" t="n">
        <v>0.319444444444444</v>
      </c>
      <c r="G17" s="10" t="n">
        <v>0.328472222222222</v>
      </c>
      <c r="H17" s="8" t="n">
        <v>12</v>
      </c>
      <c r="I17" s="11" t="n">
        <f aca="false">(G17-F17)*24*H17</f>
        <v>2.6</v>
      </c>
      <c r="J17" s="8"/>
    </row>
    <row r="19" customFormat="false" ht="15" hidden="false" customHeight="false" outlineLevel="0" collapsed="false">
      <c r="H19" s="12" t="s">
        <v>25</v>
      </c>
      <c r="I19" s="13" t="n">
        <f aca="false">SUMIF(A5:A18,"&gt;0",I5:I18)</f>
        <v>103.6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
    <col collapsed="false" customWidth="true" hidden="false" outlineLevel="0" max="3" min="3" style="0" width="46"/>
    <col collapsed="false" customWidth="true" hidden="false" outlineLevel="0" max="4" min="4" style="0" width="14"/>
    <col collapsed="false" customWidth="true" hidden="false" outlineLevel="0" max="5" min="5" style="0" width="18"/>
    <col collapsed="false" customWidth="true" hidden="false" outlineLevel="0" max="7" min="6" style="0" width="8"/>
    <col collapsed="false" customWidth="true" hidden="false" outlineLevel="0" max="8" min="8" style="0" width="10"/>
    <col collapsed="false" customWidth="true" hidden="false" outlineLevel="0" max="9" min="9" style="0" width="12"/>
    <col collapsed="false" customWidth="true" hidden="false" outlineLevel="0" max="10" min="10" style="0" width="9"/>
  </cols>
  <sheetData>
    <row r="1" customFormat="false" ht="17.35" hidden="false" customHeight="false" outlineLevel="0" collapsed="false">
      <c r="A1" s="1" t="s">
        <v>26</v>
      </c>
    </row>
    <row r="2" customFormat="false" ht="15" hidden="false" customHeight="false" outlineLevel="0" collapsed="false">
      <c r="A2" s="2" t="s">
        <v>1</v>
      </c>
    </row>
    <row r="4" customFormat="false" ht="31.5" hidden="false" customHeight="true" outlineLevel="0" collapsed="false">
      <c r="A4" s="3" t="s">
        <v>2</v>
      </c>
      <c r="B4" s="3" t="s">
        <v>3</v>
      </c>
      <c r="C4" s="3" t="s">
        <v>4</v>
      </c>
      <c r="D4" s="3" t="s">
        <v>5</v>
      </c>
      <c r="E4" s="3" t="s">
        <v>6</v>
      </c>
      <c r="F4" s="3" t="s">
        <v>7</v>
      </c>
      <c r="G4" s="3" t="s">
        <v>8</v>
      </c>
      <c r="H4" s="3" t="s">
        <v>9</v>
      </c>
      <c r="I4" s="4" t="s">
        <v>10</v>
      </c>
      <c r="J4" s="4" t="s">
        <v>11</v>
      </c>
    </row>
    <row r="5" customFormat="false" ht="15" hidden="false" customHeight="false" outlineLevel="0" collapsed="false">
      <c r="A5" s="5" t="s">
        <v>27</v>
      </c>
      <c r="B5" s="5"/>
      <c r="C5" s="5"/>
      <c r="D5" s="5"/>
      <c r="E5" s="5"/>
      <c r="F5" s="5"/>
      <c r="G5" s="5"/>
      <c r="H5" s="5"/>
      <c r="I5" s="6" t="n">
        <f aca="false">SUM(I6:I6)</f>
        <v>11.4</v>
      </c>
      <c r="J5" s="5"/>
    </row>
    <row r="6" customFormat="false" ht="25.35" hidden="false" customHeight="false" outlineLevel="0" collapsed="false">
      <c r="A6" s="7" t="n">
        <v>46315</v>
      </c>
      <c r="B6" s="8" t="s">
        <v>13</v>
      </c>
      <c r="C6" s="9" t="s">
        <v>28</v>
      </c>
      <c r="D6" s="8" t="s">
        <v>29</v>
      </c>
      <c r="E6" s="8" t="s">
        <v>16</v>
      </c>
      <c r="F6" s="10" t="n">
        <v>0.375694444444444</v>
      </c>
      <c r="G6" s="10" t="n">
        <v>0.415277777777778</v>
      </c>
      <c r="H6" s="8" t="n">
        <v>12</v>
      </c>
      <c r="I6" s="11" t="n">
        <f aca="false">(G6-F6)*24*H6</f>
        <v>11.4</v>
      </c>
      <c r="J6" s="8"/>
    </row>
    <row r="8" customFormat="false" ht="15" hidden="false" customHeight="false" outlineLevel="0" collapsed="false">
      <c r="A8" s="5" t="s">
        <v>30</v>
      </c>
      <c r="B8" s="5"/>
      <c r="C8" s="5"/>
      <c r="D8" s="5"/>
      <c r="E8" s="5"/>
      <c r="F8" s="5"/>
      <c r="G8" s="5"/>
      <c r="H8" s="5"/>
      <c r="I8" s="6" t="n">
        <f aca="false">SUM(I9:I9)</f>
        <v>17</v>
      </c>
      <c r="J8" s="5"/>
    </row>
    <row r="9" customFormat="false" ht="15" hidden="false" customHeight="false" outlineLevel="0" collapsed="false">
      <c r="A9" s="7" t="n">
        <v>46316</v>
      </c>
      <c r="B9" s="8" t="s">
        <v>13</v>
      </c>
      <c r="C9" s="9" t="s">
        <v>31</v>
      </c>
      <c r="D9" s="8" t="s">
        <v>29</v>
      </c>
      <c r="E9" s="8" t="s">
        <v>16</v>
      </c>
      <c r="F9" s="10" t="n">
        <v>0.774305555555556</v>
      </c>
      <c r="G9" s="10" t="n">
        <v>0.833333333333333</v>
      </c>
      <c r="H9" s="8" t="n">
        <v>12</v>
      </c>
      <c r="I9" s="11" t="n">
        <f aca="false">(G9-F9)*24*H9</f>
        <v>17</v>
      </c>
      <c r="J9" s="8"/>
    </row>
    <row r="11" customFormat="false" ht="15" hidden="false" customHeight="false" outlineLevel="0" collapsed="false">
      <c r="A11" s="5" t="s">
        <v>32</v>
      </c>
      <c r="B11" s="5"/>
      <c r="C11" s="5"/>
      <c r="D11" s="5"/>
      <c r="E11" s="5"/>
      <c r="F11" s="5"/>
      <c r="G11" s="5"/>
      <c r="H11" s="5"/>
      <c r="I11" s="6" t="n">
        <f aca="false">SUM(I12:I12)</f>
        <v>20.8</v>
      </c>
      <c r="J11" s="5"/>
    </row>
    <row r="12" customFormat="false" ht="15" hidden="false" customHeight="false" outlineLevel="0" collapsed="false">
      <c r="A12" s="7" t="n">
        <v>46320</v>
      </c>
      <c r="B12" s="8" t="s">
        <v>13</v>
      </c>
      <c r="C12" s="9" t="s">
        <v>33</v>
      </c>
      <c r="D12" s="8" t="s">
        <v>29</v>
      </c>
      <c r="E12" s="8" t="s">
        <v>16</v>
      </c>
      <c r="F12" s="10" t="n">
        <v>0.350694444444444</v>
      </c>
      <c r="G12" s="10" t="n">
        <v>0.422916666666667</v>
      </c>
      <c r="H12" s="8" t="n">
        <v>12</v>
      </c>
      <c r="I12" s="11" t="n">
        <f aca="false">(G12-F12)*24*H12</f>
        <v>20.8</v>
      </c>
      <c r="J12" s="8"/>
    </row>
    <row r="14" customFormat="false" ht="15" hidden="false" customHeight="false" outlineLevel="0" collapsed="false">
      <c r="H14" s="12" t="s">
        <v>25</v>
      </c>
      <c r="I14" s="13" t="n">
        <f aca="false">SUMIF(A5:A13,"&gt;0",I5:I13)</f>
        <v>49.2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0"/>
    <col collapsed="false" customWidth="true" hidden="false" outlineLevel="0" max="4" min="4" style="0" width="28"/>
    <col collapsed="false" customWidth="true" hidden="false" outlineLevel="0" max="5" min="5" style="0" width="30"/>
    <col collapsed="false" customWidth="true" hidden="false" outlineLevel="0" max="7" min="6" style="0" width="8"/>
    <col collapsed="false" customWidth="true" hidden="false" outlineLevel="0" max="9" min="8" style="0" width="12"/>
    <col collapsed="false" customWidth="true" hidden="false" outlineLevel="0" max="10" min="10" style="0" width="10"/>
    <col collapsed="false" customWidth="true" hidden="false" outlineLevel="0" max="11" min="11" style="0" width="14"/>
    <col collapsed="false" customWidth="true" hidden="false" outlineLevel="0" max="12" min="12" style="0" width="18"/>
  </cols>
  <sheetData>
    <row r="1" customFormat="false" ht="16.15" hidden="false" customHeight="false" outlineLevel="0" collapsed="false">
      <c r="A1" s="14" t="s">
        <v>34</v>
      </c>
    </row>
    <row r="2" customFormat="false" ht="25.35" hidden="false" customHeight="false" outlineLevel="0" collapsed="false">
      <c r="A2" s="3" t="s">
        <v>35</v>
      </c>
      <c r="B2" s="3" t="s">
        <v>36</v>
      </c>
      <c r="C2" s="3" t="s">
        <v>37</v>
      </c>
      <c r="D2" s="3" t="s">
        <v>38</v>
      </c>
      <c r="E2" s="3" t="s">
        <v>39</v>
      </c>
      <c r="F2" s="3" t="s">
        <v>40</v>
      </c>
      <c r="G2" s="3" t="s">
        <v>41</v>
      </c>
      <c r="H2" s="3" t="s">
        <v>42</v>
      </c>
      <c r="I2" s="3" t="s">
        <v>43</v>
      </c>
      <c r="J2" s="3" t="s">
        <v>44</v>
      </c>
      <c r="K2" s="3" t="s">
        <v>45</v>
      </c>
      <c r="L2" s="3" t="s">
        <v>46</v>
      </c>
    </row>
    <row r="3" customFormat="false" ht="15" hidden="false" customHeight="false" outlineLevel="0" collapsed="false">
      <c r="A3" s="7" t="n">
        <v>46314</v>
      </c>
      <c r="B3" s="8" t="s">
        <v>15</v>
      </c>
      <c r="C3" s="8" t="s">
        <v>47</v>
      </c>
      <c r="D3" s="9" t="s">
        <v>48</v>
      </c>
      <c r="E3" s="9" t="s">
        <v>49</v>
      </c>
      <c r="F3" s="10" t="n">
        <v>0.321527777777778</v>
      </c>
      <c r="G3" s="10" t="n">
        <v>0.354166666666667</v>
      </c>
      <c r="H3" s="8" t="n">
        <v>0.78</v>
      </c>
      <c r="I3" s="15" t="n">
        <f aca="false">(G3-F3)*24</f>
        <v>0.783333333333333</v>
      </c>
      <c r="J3" s="8" t="n">
        <f aca="false">ROUND(I3-H3,2)</f>
        <v>0</v>
      </c>
      <c r="K3" s="8" t="n">
        <v>24</v>
      </c>
      <c r="L3" s="11" t="n">
        <f aca="false">I3*K3</f>
        <v>18.8</v>
      </c>
    </row>
    <row r="4" customFormat="false" ht="15" hidden="false" customHeight="false" outlineLevel="0" collapsed="false">
      <c r="A4" s="7" t="n">
        <v>46315</v>
      </c>
      <c r="B4" s="8" t="s">
        <v>50</v>
      </c>
      <c r="C4" s="8"/>
      <c r="D4" s="9" t="s">
        <v>51</v>
      </c>
      <c r="E4" s="9" t="s">
        <v>52</v>
      </c>
      <c r="F4" s="10" t="n">
        <v>0.375694444444444</v>
      </c>
      <c r="G4" s="10" t="n">
        <v>0.415277777777778</v>
      </c>
      <c r="H4" s="8" t="n">
        <v>0.95</v>
      </c>
      <c r="I4" s="15" t="n">
        <f aca="false">(G4-F4)*24</f>
        <v>0.95</v>
      </c>
      <c r="J4" s="8" t="n">
        <f aca="false">ROUND(I4-H4,2)</f>
        <v>0</v>
      </c>
      <c r="K4" s="8" t="n">
        <v>12</v>
      </c>
      <c r="L4" s="11" t="n">
        <f aca="false">I4*K4</f>
        <v>11.4</v>
      </c>
    </row>
    <row r="5" customFormat="false" ht="15" hidden="false" customHeight="false" outlineLevel="0" collapsed="false">
      <c r="A5" s="7" t="n">
        <v>46314</v>
      </c>
      <c r="B5" s="8" t="s">
        <v>15</v>
      </c>
      <c r="C5" s="8" t="s">
        <v>53</v>
      </c>
      <c r="D5" s="9" t="s">
        <v>54</v>
      </c>
      <c r="E5" s="9" t="s">
        <v>55</v>
      </c>
      <c r="F5" s="10" t="n">
        <v>0.78125</v>
      </c>
      <c r="G5" s="10" t="n">
        <v>0.822916666666667</v>
      </c>
      <c r="H5" s="8" t="n">
        <v>1</v>
      </c>
      <c r="I5" s="15" t="n">
        <f aca="false">(G5-F5)*24</f>
        <v>1</v>
      </c>
      <c r="J5" s="8" t="n">
        <f aca="false">ROUND(I5-H5,2)</f>
        <v>0</v>
      </c>
      <c r="K5" s="8" t="n">
        <v>12</v>
      </c>
      <c r="L5" s="11" t="n">
        <f aca="false">I5*K5</f>
        <v>12</v>
      </c>
    </row>
    <row r="6" customFormat="false" ht="15" hidden="false" customHeight="false" outlineLevel="0" collapsed="false">
      <c r="A6" s="7" t="n">
        <v>46315</v>
      </c>
      <c r="B6" s="8" t="s">
        <v>15</v>
      </c>
      <c r="C6" s="8" t="s">
        <v>56</v>
      </c>
      <c r="D6" s="9" t="s">
        <v>54</v>
      </c>
      <c r="E6" s="9" t="s">
        <v>57</v>
      </c>
      <c r="F6" s="10" t="n">
        <v>0.75</v>
      </c>
      <c r="G6" s="10" t="n">
        <v>0.875</v>
      </c>
      <c r="H6" s="8" t="n">
        <v>3</v>
      </c>
      <c r="I6" s="15" t="n">
        <f aca="false">(G6-F6)*24</f>
        <v>3</v>
      </c>
      <c r="J6" s="8" t="n">
        <f aca="false">ROUND(I6-H6,2)</f>
        <v>0</v>
      </c>
      <c r="K6" s="8" t="n">
        <v>12</v>
      </c>
      <c r="L6" s="11" t="n">
        <f aca="false">I6*K6</f>
        <v>36</v>
      </c>
    </row>
    <row r="7" customFormat="false" ht="15" hidden="false" customHeight="false" outlineLevel="0" collapsed="false">
      <c r="A7" s="7" t="n">
        <v>46315</v>
      </c>
      <c r="B7" s="8" t="s">
        <v>15</v>
      </c>
      <c r="C7" s="8" t="s">
        <v>58</v>
      </c>
      <c r="D7" s="9" t="s">
        <v>59</v>
      </c>
      <c r="E7" s="9" t="s">
        <v>60</v>
      </c>
      <c r="F7" s="10" t="n">
        <v>0.743055555555556</v>
      </c>
      <c r="G7" s="10" t="n">
        <v>0.826388888888889</v>
      </c>
      <c r="H7" s="8" t="n">
        <v>2</v>
      </c>
      <c r="I7" s="15" t="n">
        <f aca="false">(G7-F7)*24</f>
        <v>2</v>
      </c>
      <c r="J7" s="8" t="n">
        <f aca="false">ROUND(I7-H7,2)</f>
        <v>0</v>
      </c>
      <c r="K7" s="8" t="n">
        <v>12</v>
      </c>
      <c r="L7" s="11" t="n">
        <f aca="false">I7*K7</f>
        <v>24</v>
      </c>
    </row>
    <row r="8" customFormat="false" ht="15" hidden="false" customHeight="false" outlineLevel="0" collapsed="false">
      <c r="A8" s="7" t="n">
        <v>46316</v>
      </c>
      <c r="B8" s="8" t="s">
        <v>50</v>
      </c>
      <c r="C8" s="8" t="s">
        <v>61</v>
      </c>
      <c r="D8" s="9" t="s">
        <v>62</v>
      </c>
      <c r="E8" s="9" t="s">
        <v>63</v>
      </c>
      <c r="F8" s="10" t="n">
        <v>0.774305555555556</v>
      </c>
      <c r="G8" s="10" t="n">
        <v>0.833333333333333</v>
      </c>
      <c r="H8" s="8" t="n">
        <v>1.42</v>
      </c>
      <c r="I8" s="15" t="n">
        <f aca="false">(G8-F8)*24</f>
        <v>1.41666666666667</v>
      </c>
      <c r="J8" s="8" t="n">
        <f aca="false">ROUND(I8-H8,2)</f>
        <v>-0</v>
      </c>
      <c r="K8" s="8" t="n">
        <v>12</v>
      </c>
      <c r="L8" s="11" t="n">
        <f aca="false">I8*K8</f>
        <v>17</v>
      </c>
    </row>
    <row r="9" customFormat="false" ht="15" hidden="false" customHeight="false" outlineLevel="0" collapsed="false">
      <c r="A9" s="7" t="n">
        <v>46317</v>
      </c>
      <c r="B9" s="8" t="s">
        <v>15</v>
      </c>
      <c r="C9" s="8" t="s">
        <v>64</v>
      </c>
      <c r="D9" s="9" t="s">
        <v>48</v>
      </c>
      <c r="E9" s="9" t="s">
        <v>65</v>
      </c>
      <c r="F9" s="10" t="n">
        <v>0.700694444444444</v>
      </c>
      <c r="G9" s="10" t="n">
        <v>0.736111111111111</v>
      </c>
      <c r="H9" s="8" t="n">
        <v>0.85</v>
      </c>
      <c r="I9" s="15" t="n">
        <f aca="false">(G9-F9)*24</f>
        <v>0.85</v>
      </c>
      <c r="J9" s="8" t="n">
        <f aca="false">ROUND(I9-H9,2)</f>
        <v>0</v>
      </c>
      <c r="K9" s="8" t="n">
        <v>12</v>
      </c>
      <c r="L9" s="11" t="n">
        <f aca="false">I9*K9</f>
        <v>10.2</v>
      </c>
    </row>
    <row r="10" customFormat="false" ht="15" hidden="false" customHeight="false" outlineLevel="0" collapsed="false">
      <c r="A10" s="7" t="n">
        <v>46319</v>
      </c>
      <c r="B10" s="8" t="s">
        <v>15</v>
      </c>
      <c r="C10" s="8" t="s">
        <v>66</v>
      </c>
      <c r="D10" s="9" t="s">
        <v>67</v>
      </c>
      <c r="E10" s="9" t="s">
        <v>68</v>
      </c>
      <c r="F10" s="10" t="n">
        <v>0.319444444444444</v>
      </c>
      <c r="G10" s="10" t="n">
        <v>0.328472222222222</v>
      </c>
      <c r="H10" s="8" t="n">
        <v>0.22</v>
      </c>
      <c r="I10" s="15" t="n">
        <f aca="false">(G10-F10)*24</f>
        <v>0.216666666666667</v>
      </c>
      <c r="J10" s="8" t="n">
        <f aca="false">ROUND(I10-H10,2)</f>
        <v>-0</v>
      </c>
      <c r="K10" s="8" t="n">
        <v>12</v>
      </c>
      <c r="L10" s="11" t="n">
        <f aca="false">I10*K10</f>
        <v>2.6</v>
      </c>
    </row>
    <row r="11" customFormat="false" ht="15" hidden="false" customHeight="false" outlineLevel="0" collapsed="false">
      <c r="A11" s="7" t="n">
        <v>46320</v>
      </c>
      <c r="B11" s="8" t="s">
        <v>50</v>
      </c>
      <c r="C11" s="8" t="s">
        <v>69</v>
      </c>
      <c r="D11" s="9" t="s">
        <v>70</v>
      </c>
      <c r="E11" s="9" t="s">
        <v>68</v>
      </c>
      <c r="F11" s="10" t="n">
        <v>0.350694444444444</v>
      </c>
      <c r="G11" s="10" t="n">
        <v>0.422916666666667</v>
      </c>
      <c r="H11" s="8" t="n">
        <v>1.73</v>
      </c>
      <c r="I11" s="15" t="n">
        <f aca="false">(G11-F11)*24</f>
        <v>1.73333333333333</v>
      </c>
      <c r="J11" s="8" t="n">
        <f aca="false">ROUND(I11-H11,2)</f>
        <v>0</v>
      </c>
      <c r="K11" s="8" t="n">
        <v>12</v>
      </c>
      <c r="L11" s="11" t="n">
        <f aca="false">I11*K11</f>
        <v>20.8</v>
      </c>
    </row>
    <row r="12" customFormat="false" ht="15" hidden="false" customHeight="false" outlineLevel="0" collapsed="false">
      <c r="K12" s="12" t="s">
        <v>25</v>
      </c>
      <c r="L12" s="13" t="n">
        <f aca="false">SUM(L3:L11)</f>
        <v>152.8</v>
      </c>
    </row>
    <row r="14" customFormat="false" ht="15" hidden="false" customHeight="false" outlineLevel="0" collapsed="false">
      <c r="A14" s="16" t="s">
        <v>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2026-10-27T11:03:17Z</dcterms:created>
  <dc:creator>openpyxl</dc:creator>
  <dc:description/>
  <dc:language>en-US</dc:language>
  <cp:lastModifiedBy/>
  <dcterms:modified xsi:type="dcterms:W3CDTF">2026-10-27T11:03:17Z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