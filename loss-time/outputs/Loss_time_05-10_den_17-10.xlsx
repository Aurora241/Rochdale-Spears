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ss time 05-10" sheetId="1" state="visible" r:id="rId3"/>
    <sheet name="Loss time 06-10" sheetId="2" state="visible" r:id="rId4"/>
    <sheet name="Loss time 07-10" sheetId="3" state="visible" r:id="rId5"/>
    <sheet name="Loss time 08-10" sheetId="4" state="visible" r:id="rId6"/>
    <sheet name="Loss time 09-10" sheetId="5" state="visible" r:id="rId7"/>
    <sheet name="Loss time 10-10" sheetId="6" state="visible" r:id="rId8"/>
    <sheet name="Loss time 12-10" sheetId="7" state="visible" r:id="rId9"/>
    <sheet name="Loss time 13-10" sheetId="8" state="visible" r:id="rId10"/>
    <sheet name="Loss time 14-10" sheetId="9" state="visible" r:id="rId11"/>
    <sheet name="Loss time 15-10" sheetId="10" state="visible" r:id="rId12"/>
    <sheet name="Loss time 16-10" sheetId="11" state="visible" r:id="rId13"/>
    <sheet name="Loss time 17-10" sheetId="12" state="visible" r:id="rId14"/>
    <sheet name="Tổng hợp" sheetId="13" state="visible" r:id="rId15"/>
    <sheet name="Nhân viên mới - A2" sheetId="14" state="visible" r:id="rId16"/>
    <sheet name="Lịch A2 nhân viên mới" sheetId="15" state="visible" r:id="rId17"/>
  </sheets>
  <definedNames>
    <definedName function="false" hidden="true" localSheetId="0" name="_xlnm._FilterDatabase" vbProcedure="false">'Loss time 05-10'!$A$2:$Q$39</definedName>
    <definedName function="false" hidden="true" localSheetId="1" name="_xlnm._FilterDatabase" vbProcedure="false">'Loss time 06-10'!$A$2:$Q$42</definedName>
    <definedName function="false" hidden="true" localSheetId="2" name="_xlnm._FilterDatabase" vbProcedure="false">'Loss time 07-10'!$A$2:$Q$44</definedName>
    <definedName function="false" hidden="true" localSheetId="3" name="_xlnm._FilterDatabase" vbProcedure="false">'Loss time 08-10'!$A$2:$Q$44</definedName>
    <definedName function="false" hidden="true" localSheetId="4" name="_xlnm._FilterDatabase" vbProcedure="false">'Loss time 09-10'!$A$2:$Q$44</definedName>
    <definedName function="false" hidden="true" localSheetId="5" name="_xlnm._FilterDatabase" vbProcedure="false">'Loss time 10-10'!$A$2:$Q$44</definedName>
    <definedName function="false" hidden="true" localSheetId="6" name="_xlnm._FilterDatabase" vbProcedure="false">'Loss time 12-10'!$A$2:$Q$46</definedName>
    <definedName function="false" hidden="true" localSheetId="7" name="_xlnm._FilterDatabase" vbProcedure="false">'Loss time 13-10'!$A$2:$Q$48</definedName>
    <definedName function="false" hidden="true" localSheetId="8" name="_xlnm._FilterDatabase" vbProcedure="false">'Loss time 14-10'!$A$2:$Q$38</definedName>
    <definedName function="false" hidden="true" localSheetId="9" name="_xlnm._FilterDatabase" vbProcedure="false">'Loss time 15-10'!$A$2:$Q$37</definedName>
    <definedName function="false" hidden="true" localSheetId="10" name="_xlnm._FilterDatabase" vbProcedure="false">'Loss time 16-10'!$A$2:$Q$38</definedName>
    <definedName function="false" hidden="true" localSheetId="11" name="_xlnm._FilterDatabase" vbProcedure="false">'Loss time 17-10'!$A$2:$Q$38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<sst xmlns="http://schemas.openxmlformats.org/spreadsheetml/2006/main" count="3797" uniqueCount="278">
  <si>
    <t xml:space="preserve">LOSS TIME WHITE WOOD - 05/10/2026</t>
  </si>
  <si>
    <t xml:space="preserve">Week</t>
  </si>
  <si>
    <t xml:space="preserve">Date 
(Ngày)</t>
  </si>
  <si>
    <t xml:space="preserve">Item's
Mã hàng</t>
  </si>
  <si>
    <t xml:space="preserve">Code Máy Hư</t>
  </si>
  <si>
    <t xml:space="preserve">Q'ty</t>
  </si>
  <si>
    <t xml:space="preserve">Số NCR/ME</t>
  </si>
  <si>
    <t xml:space="preserve">Khu vực phát sinh/bộ phận hỗ trợ</t>
  </si>
  <si>
    <t xml:space="preserve">Code</t>
  </si>
  <si>
    <t xml:space="preserve">Name code</t>
  </si>
  <si>
    <t xml:space="preserve">Chart / bộ phận chịu trách nhiệm</t>
  </si>
  <si>
    <t xml:space="preserve">Lí Do</t>
  </si>
  <si>
    <t xml:space="preserve">Ghi chú</t>
  </si>
  <si>
    <t xml:space="preserve">From</t>
  </si>
  <si>
    <t xml:space="preserve">To</t>
  </si>
  <si>
    <t xml:space="preserve">LossTime (Hr)</t>
  </si>
  <si>
    <t xml:space="preserve">HC</t>
  </si>
  <si>
    <t xml:space="preserve">Loss time labor (Hrs)</t>
  </si>
  <si>
    <t xml:space="preserve">RC - WOOD</t>
  </si>
  <si>
    <t xml:space="preserve">P20</t>
  </si>
  <si>
    <t xml:space="preserve">Dailly Cleaning</t>
  </si>
  <si>
    <t xml:space="preserve">RC WOOD</t>
  </si>
  <si>
    <t xml:space="preserve">Vệ sinh khu vực máy móc RC WOOD</t>
  </si>
  <si>
    <t xml:space="preserve">RC - PANEL</t>
  </si>
  <si>
    <t xml:space="preserve">Vệ sinh khu vực máy móc RC PANEL</t>
  </si>
  <si>
    <t xml:space="preserve">Machining</t>
  </si>
  <si>
    <t xml:space="preserve">Vệ sinh khu vực máy móc MAC FINAL</t>
  </si>
  <si>
    <t xml:space="preserve">Vệ sinh khu vực máy móc PRE MAC</t>
  </si>
  <si>
    <t xml:space="preserve">Assembly</t>
  </si>
  <si>
    <t xml:space="preserve">Quét nhà toàn xưởng khu vực ASSY</t>
  </si>
  <si>
    <t xml:space="preserve">P26</t>
  </si>
  <si>
    <t xml:space="preserve">Recorder/ Supporter</t>
  </si>
  <si>
    <t xml:space="preserve">Shop Floor data RC PANEL</t>
  </si>
  <si>
    <t xml:space="preserve">Recorder</t>
  </si>
  <si>
    <t xml:space="preserve">Shop Floor data- STOCK ROOM</t>
  </si>
  <si>
    <t xml:space="preserve">Shop Floor data MAC FINAL</t>
  </si>
  <si>
    <t xml:space="preserve">Theo dõi Hàng venner làm xong</t>
  </si>
  <si>
    <t xml:space="preserve">Nhận venner cho ép nóng</t>
  </si>
  <si>
    <t xml:space="preserve">Supporter</t>
  </si>
  <si>
    <t xml:space="preserve">Lựa hàng tinh giao mac- gỗ đẹp xấu</t>
  </si>
  <si>
    <t xml:space="preserve">Ghi nhận hàng giao kho</t>
  </si>
  <si>
    <t xml:space="preserve">Kiểm hàng chất lượng vào kho</t>
  </si>
  <si>
    <t xml:space="preserve">Nhận hàng gỗ đầu vào từ RC</t>
  </si>
  <si>
    <t xml:space="preserve">quét nhà toàn xưởng khu vực ASSY</t>
  </si>
  <si>
    <t xml:space="preserve">Theo hàng pilot -hàng test-spo-subcon-NCR</t>
  </si>
  <si>
    <t xml:space="preserve">Giao nhận hàng hộc kéo</t>
  </si>
  <si>
    <t xml:space="preserve">Báo output- sửa máy- giao nhận vật tư</t>
  </si>
  <si>
    <t xml:space="preserve">Giao nhận HW- phát HW cho Line sx</t>
  </si>
  <si>
    <t xml:space="preserve">P22</t>
  </si>
  <si>
    <t xml:space="preserve">HR Training New Workers</t>
  </si>
  <si>
    <t xml:space="preserve">HR/HSE</t>
  </si>
  <si>
    <t xml:space="preserve">Đào tạo công nhân mới</t>
  </si>
  <si>
    <t xml:space="preserve">A2</t>
  </si>
  <si>
    <t xml:space="preserve">Training</t>
  </si>
  <si>
    <t xml:space="preserve">HC mới- 50% hiệu suất- 2 tuần-18/9</t>
  </si>
  <si>
    <t xml:space="preserve">A2 ngày 5/12 - nhóm 18/9</t>
  </si>
  <si>
    <t xml:space="preserve">HC mới- 50% hiệu suất- 2 tuần-23/9</t>
  </si>
  <si>
    <t xml:space="preserve">A2 ngày 10/12 - nhóm 23/9</t>
  </si>
  <si>
    <t xml:space="preserve">HC mới- 50% hiệu suất- 2 tuần-24/9</t>
  </si>
  <si>
    <t xml:space="preserve">A2 ngày 5/12 - nhóm 24/9</t>
  </si>
  <si>
    <t xml:space="preserve">HC mới- 50% hiệu suất- 2 tuần-25/9</t>
  </si>
  <si>
    <t xml:space="preserve">A2 ngày 5/12 - nhóm 25/9</t>
  </si>
  <si>
    <t xml:space="preserve">HC mới- 50% hiệu suất- 2 tuần-28/9</t>
  </si>
  <si>
    <t xml:space="preserve">A2 ngày 6/12 - nhóm 28/9</t>
  </si>
  <si>
    <t xml:space="preserve">HC mới- 50% hiệu suất- 2 tuần-21/9</t>
  </si>
  <si>
    <t xml:space="preserve">A2 ngày 5/12 - nhóm 21/9</t>
  </si>
  <si>
    <t xml:space="preserve">HC mới- 50% hiệu suất- 2 tuần-22/9</t>
  </si>
  <si>
    <t xml:space="preserve">A2 ngày 5/12 - nhóm 22/9</t>
  </si>
  <si>
    <t xml:space="preserve">RC</t>
  </si>
  <si>
    <t xml:space="preserve">A2 ngày 5/12 - nhóm 23/9</t>
  </si>
  <si>
    <t xml:space="preserve">HC mới- 50% hiệu suất- 2 tuần-26/9</t>
  </si>
  <si>
    <t xml:space="preserve">A2 ngày 5/12 - nhóm 26/9</t>
  </si>
  <si>
    <t xml:space="preserve">Raw Cutting Panel</t>
  </si>
  <si>
    <t xml:space="preserve">A2 ngày 4/12 - nhóm 23/9</t>
  </si>
  <si>
    <t xml:space="preserve">A2 ngày 4/12 - nhóm 25/9</t>
  </si>
  <si>
    <t xml:space="preserve">Tổng</t>
  </si>
  <si>
    <t xml:space="preserve">Vàng = nhân viên mới ngày đầu (P22). Xanh = nhân viên đang ghi A2 (cột Ghi chú cho biết ngày thứ mấy trong 12 ngày).</t>
  </si>
  <si>
    <t xml:space="preserve">LOSS TIME WHITE WOOD - 06/10/2026</t>
  </si>
  <si>
    <t xml:space="preserve">A2 ngày 6/12 - nhóm 18/9</t>
  </si>
  <si>
    <t xml:space="preserve">A2 ngày 11/12 - nhóm 23/9</t>
  </si>
  <si>
    <t xml:space="preserve">A2 ngày 6/12 - nhóm 24/9</t>
  </si>
  <si>
    <t xml:space="preserve">A2 ngày 6/12 - nhóm 25/9</t>
  </si>
  <si>
    <t xml:space="preserve">A2 ngày 7/12 - nhóm 28/9</t>
  </si>
  <si>
    <t xml:space="preserve">A2 ngày 6/12 - nhóm 21/9</t>
  </si>
  <si>
    <t xml:space="preserve">A2 ngày 6/12 - nhóm 22/9</t>
  </si>
  <si>
    <t xml:space="preserve">A2 ngày 6/12 - nhóm 23/9</t>
  </si>
  <si>
    <t xml:space="preserve">A2 ngày 6/12 - nhóm 26/9</t>
  </si>
  <si>
    <t xml:space="preserve">HC mới- 50% hiệu suất- 2 tuần-05/10</t>
  </si>
  <si>
    <t xml:space="preserve">A2 ngày 1/12 - nhóm 05/10</t>
  </si>
  <si>
    <t xml:space="preserve">LOSS TIME WHITE WOOD - 07/10/2026</t>
  </si>
  <si>
    <t xml:space="preserve">A2 ngày 7/12 - nhóm 18/9</t>
  </si>
  <si>
    <t xml:space="preserve">A2 ngày 12/12 - nhóm 23/9</t>
  </si>
  <si>
    <t xml:space="preserve">A2 ngày 7/12 - nhóm 24/9</t>
  </si>
  <si>
    <t xml:space="preserve">A2 ngày 7/12 - nhóm 25/9</t>
  </si>
  <si>
    <t xml:space="preserve">A2 ngày 8/12 - nhóm 28/9</t>
  </si>
  <si>
    <t xml:space="preserve">A2 ngày 7/12 - nhóm 21/9</t>
  </si>
  <si>
    <t xml:space="preserve">A2 ngày 7/12 - nhóm 22/9</t>
  </si>
  <si>
    <t xml:space="preserve">A2 ngày 7/12 - nhóm 23/9</t>
  </si>
  <si>
    <t xml:space="preserve">A2 ngày 7/12 - nhóm 26/9</t>
  </si>
  <si>
    <t xml:space="preserve">A2 ngày 2/12 - nhóm 05/10</t>
  </si>
  <si>
    <t xml:space="preserve">HC mới- 50% hiệu suất- 2 tuần-06/10</t>
  </si>
  <si>
    <t xml:space="preserve">A2 ngày 1/12 - nhóm 06/10</t>
  </si>
  <si>
    <t xml:space="preserve">LOSS TIME WHITE WOOD - 08/10/2026</t>
  </si>
  <si>
    <t xml:space="preserve">A2 ngày 8/12 - nhóm 18/9</t>
  </si>
  <si>
    <t xml:space="preserve">A2 ngày 8/12 - nhóm 24/9</t>
  </si>
  <si>
    <t xml:space="preserve">A2 ngày 8/12 - nhóm 25/9</t>
  </si>
  <si>
    <t xml:space="preserve">A2 ngày 9/12 - nhóm 28/9</t>
  </si>
  <si>
    <t xml:space="preserve">A2 ngày 8/12 - nhóm 21/9</t>
  </si>
  <si>
    <t xml:space="preserve">A2 ngày 8/12 - nhóm 22/9</t>
  </si>
  <si>
    <t xml:space="preserve">A2 ngày 8/12 - nhóm 23/9</t>
  </si>
  <si>
    <t xml:space="preserve">A2 ngày 8/12 - nhóm 26/9</t>
  </si>
  <si>
    <t xml:space="preserve">A2 ngày 3/12 - nhóm 05/10</t>
  </si>
  <si>
    <t xml:space="preserve">A2 ngày 2/12 - nhóm 06/10</t>
  </si>
  <si>
    <t xml:space="preserve">HC mới- 50% hiệu suất- 2 tuần-07/10</t>
  </si>
  <si>
    <t xml:space="preserve">A2 ngày 1/12 - nhóm 07/10</t>
  </si>
  <si>
    <t xml:space="preserve">LOSS TIME WHITE WOOD - 09/10/2026</t>
  </si>
  <si>
    <t xml:space="preserve">A2 ngày 9/12 - nhóm 18/9</t>
  </si>
  <si>
    <t xml:space="preserve">A2 ngày 9/12 - nhóm 24/9</t>
  </si>
  <si>
    <t xml:space="preserve">A2 ngày 9/12 - nhóm 25/9</t>
  </si>
  <si>
    <t xml:space="preserve">A2 ngày 10/12 - nhóm 28/9</t>
  </si>
  <si>
    <t xml:space="preserve">A2 ngày 9/12 - nhóm 21/9</t>
  </si>
  <si>
    <t xml:space="preserve">A2 ngày 9/12 - nhóm 22/9</t>
  </si>
  <si>
    <t xml:space="preserve">A2 ngày 9/12 - nhóm 23/9</t>
  </si>
  <si>
    <t xml:space="preserve">A2 ngày 9/12 - nhóm 26/9</t>
  </si>
  <si>
    <t xml:space="preserve">A2 ngày 4/12 - nhóm 05/10</t>
  </si>
  <si>
    <t xml:space="preserve">A2 ngày 3/12 - nhóm 06/10</t>
  </si>
  <si>
    <t xml:space="preserve">A2 ngày 2/12 - nhóm 07/10</t>
  </si>
  <si>
    <t xml:space="preserve">HC mới- 50% hiệu suất- 2 tuần-08/10</t>
  </si>
  <si>
    <t xml:space="preserve">A2 ngày 1/12 - nhóm 08/10</t>
  </si>
  <si>
    <t xml:space="preserve">LOSS TIME WHITE WOOD - 10/10/2026</t>
  </si>
  <si>
    <t xml:space="preserve">A2 ngày 10/12 - nhóm 18/9</t>
  </si>
  <si>
    <t xml:space="preserve">A2 ngày 10/12 - nhóm 24/9</t>
  </si>
  <si>
    <t xml:space="preserve">A2 ngày 10/12 - nhóm 25/9</t>
  </si>
  <si>
    <t xml:space="preserve">A2 ngày 11/12 - nhóm 28/9</t>
  </si>
  <si>
    <t xml:space="preserve">A2 ngày 10/12 - nhóm 21/9</t>
  </si>
  <si>
    <t xml:space="preserve">A2 ngày 10/12 - nhóm 22/9</t>
  </si>
  <si>
    <t xml:space="preserve">A2 ngày 10/12 - nhóm 26/9</t>
  </si>
  <si>
    <t xml:space="preserve">A2 ngày 5/12 - nhóm 05/10</t>
  </si>
  <si>
    <t xml:space="preserve">A2 ngày 4/12 - nhóm 06/10</t>
  </si>
  <si>
    <t xml:space="preserve">A2 ngày 3/12 - nhóm 07/10</t>
  </si>
  <si>
    <t xml:space="preserve">A2 ngày 2/12 - nhóm 08/10</t>
  </si>
  <si>
    <t xml:space="preserve">LOSS TIME WHITE WOOD - 12/10/2026</t>
  </si>
  <si>
    <t xml:space="preserve">A2 ngày 11/12 - nhóm 18/9</t>
  </si>
  <si>
    <t xml:space="preserve">A2 ngày 11/12 - nhóm 24/9</t>
  </si>
  <si>
    <t xml:space="preserve">A2 ngày 11/12 - nhóm 25/9</t>
  </si>
  <si>
    <t xml:space="preserve">A2 ngày 12/12 - nhóm 28/9</t>
  </si>
  <si>
    <t xml:space="preserve">A2 ngày 11/12 - nhóm 21/9</t>
  </si>
  <si>
    <t xml:space="preserve">A2 ngày 11/12 - nhóm 22/9</t>
  </si>
  <si>
    <t xml:space="preserve">A2 ngày 11/12 - nhóm 26/9</t>
  </si>
  <si>
    <t xml:space="preserve">A2 ngày 6/12 - nhóm 05/10</t>
  </si>
  <si>
    <t xml:space="preserve">A2 ngày 5/12 - nhóm 06/10</t>
  </si>
  <si>
    <t xml:space="preserve">A2 ngày 4/12 - nhóm 07/10</t>
  </si>
  <si>
    <t xml:space="preserve">A2 ngày 3/12 - nhóm 08/10</t>
  </si>
  <si>
    <t xml:space="preserve">LOSS TIME WHITE WOOD - 13/10/2026</t>
  </si>
  <si>
    <t xml:space="preserve">A2 ngày 12/12 - nhóm 18/9</t>
  </si>
  <si>
    <t xml:space="preserve">A2 ngày 12/12 - nhóm 24/9</t>
  </si>
  <si>
    <t xml:space="preserve">A2 ngày 12/12 - nhóm 25/9</t>
  </si>
  <si>
    <t xml:space="preserve">A2 ngày 12/12 - nhóm 21/9</t>
  </si>
  <si>
    <t xml:space="preserve">A2 ngày 12/12 - nhóm 22/9</t>
  </si>
  <si>
    <t xml:space="preserve">A2 ngày 12/12 - nhóm 26/9</t>
  </si>
  <si>
    <t xml:space="preserve">A2 ngày 7/12 - nhóm 05/10</t>
  </si>
  <si>
    <t xml:space="preserve">A2 ngày 6/12 - nhóm 06/10</t>
  </si>
  <si>
    <t xml:space="preserve">A2 ngày 5/12 - nhóm 07/10</t>
  </si>
  <si>
    <t xml:space="preserve">A2 ngày 4/12 - nhóm 08/10</t>
  </si>
  <si>
    <t xml:space="preserve">HC mới- 50% hiệu suất- 2 tuần-12/10</t>
  </si>
  <si>
    <t xml:space="preserve">A2 ngày 1/12 - nhóm 12/10</t>
  </si>
  <si>
    <t xml:space="preserve">LOSS TIME WHITE WOOD - 14/10/2026</t>
  </si>
  <si>
    <t xml:space="preserve">A2 ngày 8/12 - nhóm 05/10</t>
  </si>
  <si>
    <t xml:space="preserve">A2 ngày 7/12 - nhóm 06/10</t>
  </si>
  <si>
    <t xml:space="preserve">A2 ngày 6/12 - nhóm 07/10</t>
  </si>
  <si>
    <t xml:space="preserve">A2 ngày 5/12 - nhóm 08/10</t>
  </si>
  <si>
    <t xml:space="preserve">A2 ngày 2/12 - nhóm 12/10</t>
  </si>
  <si>
    <t xml:space="preserve">HC mới- 50% hiệu suất- 2 tuần-13/10</t>
  </si>
  <si>
    <t xml:space="preserve">A2 ngày 1/12 - nhóm 13/10</t>
  </si>
  <si>
    <t xml:space="preserve">LOSS TIME WHITE WOOD - 15/10/2026</t>
  </si>
  <si>
    <t xml:space="preserve">A2 ngày 9/12 - nhóm 05/10</t>
  </si>
  <si>
    <t xml:space="preserve">A2 ngày 8/12 - nhóm 06/10</t>
  </si>
  <si>
    <t xml:space="preserve">A2 ngày 7/12 - nhóm 07/10</t>
  </si>
  <si>
    <t xml:space="preserve">A2 ngày 6/12 - nhóm 08/10</t>
  </si>
  <si>
    <t xml:space="preserve">A2 ngày 3/12 - nhóm 12/10</t>
  </si>
  <si>
    <t xml:space="preserve">A2 ngày 2/12 - nhóm 13/10</t>
  </si>
  <si>
    <t xml:space="preserve">HC mới- 50% hiệu suất- 2 tuần-14/10</t>
  </si>
  <si>
    <t xml:space="preserve">A2 ngày 1/12 - nhóm 14/10</t>
  </si>
  <si>
    <t xml:space="preserve">LOSS TIME WHITE WOOD - 16/10/2026</t>
  </si>
  <si>
    <t xml:space="preserve">Chưa rõ khu vực</t>
  </si>
  <si>
    <t xml:space="preserve">A2 ngày 10/12 - nhóm 05/10</t>
  </si>
  <si>
    <t xml:space="preserve">A2 ngày 9/12 - nhóm 06/10</t>
  </si>
  <si>
    <t xml:space="preserve">A2 ngày 8/12 - nhóm 07/10</t>
  </si>
  <si>
    <t xml:space="preserve">A2 ngày 7/12 - nhóm 08/10</t>
  </si>
  <si>
    <t xml:space="preserve">A2 ngày 4/12 - nhóm 12/10</t>
  </si>
  <si>
    <t xml:space="preserve">A2 ngày 3/12 - nhóm 13/10</t>
  </si>
  <si>
    <t xml:space="preserve">A2 ngày 2/12 - nhóm 14/10</t>
  </si>
  <si>
    <t xml:space="preserve">HC mới- 50% hiệu suất- 2 tuần-15/10</t>
  </si>
  <si>
    <t xml:space="preserve">A2 ngày 1/12 - nhóm 15/10</t>
  </si>
  <si>
    <t xml:space="preserve">LOSS TIME WHITE WOOD - 17/10/2026</t>
  </si>
  <si>
    <t xml:space="preserve">A2 ngày 11/12 - nhóm 05/10</t>
  </si>
  <si>
    <t xml:space="preserve">A2 ngày 10/12 - nhóm 06/10</t>
  </si>
  <si>
    <t xml:space="preserve">A2 ngày 9/12 - nhóm 07/10</t>
  </si>
  <si>
    <t xml:space="preserve">A2 ngày 8/12 - nhóm 08/10</t>
  </si>
  <si>
    <t xml:space="preserve">A2 ngày 5/12 - nhóm 12/10</t>
  </si>
  <si>
    <t xml:space="preserve">A2 ngày 4/12 - nhóm 13/10</t>
  </si>
  <si>
    <t xml:space="preserve">A2 ngày 3/12 - nhóm 14/10</t>
  </si>
  <si>
    <t xml:space="preserve">A2 ngày 2/12 - nhóm 15/10</t>
  </si>
  <si>
    <t xml:space="preserve">HC mới- 50% hiệu suất- 2 tuần-16/10</t>
  </si>
  <si>
    <t xml:space="preserve">A2 ngày 1/12 - nhóm 16/10</t>
  </si>
  <si>
    <t xml:space="preserve">TỔNG HỢP LOSS TIME LABOR (GIỜ CÔNG)</t>
  </si>
  <si>
    <t xml:space="preserve">Ngày 05/10/2026</t>
  </si>
  <si>
    <t xml:space="preserve">Tên</t>
  </si>
  <si>
    <t xml:space="preserve">Ngày 06/10/2026</t>
  </si>
  <si>
    <t xml:space="preserve">Ngày 07/10/2026</t>
  </si>
  <si>
    <t xml:space="preserve">Ngày 08/10/2026</t>
  </si>
  <si>
    <t xml:space="preserve">Ngày 09/10/2026</t>
  </si>
  <si>
    <t xml:space="preserve">Ngày 10/10/2026</t>
  </si>
  <si>
    <t xml:space="preserve">Ngày 12/10/2026</t>
  </si>
  <si>
    <t xml:space="preserve">Ngày 13/10/2026</t>
  </si>
  <si>
    <t xml:space="preserve">Ngày 14/10/2026</t>
  </si>
  <si>
    <t xml:space="preserve">Ngày 15/10/2026</t>
  </si>
  <si>
    <t xml:space="preserve">Ngày 16/10/2026</t>
  </si>
  <si>
    <t xml:space="preserve">Ngày 17/10/2026</t>
  </si>
  <si>
    <t xml:space="preserve">Chưa gồm các mã lỗi máy móc và các mã khác theo yêu cầu.</t>
  </si>
  <si>
    <t xml:space="preserve">NHÂN VIÊN MỚI: P22 VÀ A2 THEO TỪNG NGÀY</t>
  </si>
  <si>
    <t xml:space="preserve">Nhóm (ngày vào làm)</t>
  </si>
  <si>
    <t xml:space="preserve">Khu vực</t>
  </si>
  <si>
    <t xml:space="preserve">Mã ngày 05/10</t>
  </si>
  <si>
    <t xml:space="preserve">Mã ngày 06/10</t>
  </si>
  <si>
    <t xml:space="preserve">Mã ngày 07/10</t>
  </si>
  <si>
    <t xml:space="preserve">Mã ngày 08/10</t>
  </si>
  <si>
    <t xml:space="preserve">Mã ngày 09/10</t>
  </si>
  <si>
    <t xml:space="preserve">Mã ngày 10/10</t>
  </si>
  <si>
    <t xml:space="preserve">Mã ngày 12/10</t>
  </si>
  <si>
    <t xml:space="preserve">Mã ngày 13/10</t>
  </si>
  <si>
    <t xml:space="preserve">Mã ngày 14/10</t>
  </si>
  <si>
    <t xml:space="preserve">Mã ngày 15/10</t>
  </si>
  <si>
    <t xml:space="preserve">Mã ngày 16/10</t>
  </si>
  <si>
    <t xml:space="preserve">Mã ngày 17/10</t>
  </si>
  <si>
    <t xml:space="preserve">Ngày cuối A2 (không tính CN)</t>
  </si>
  <si>
    <t xml:space="preserve">16/10</t>
  </si>
  <si>
    <t xml:space="preserve">-</t>
  </si>
  <si>
    <t xml:space="preserve">A2 ngày 1</t>
  </si>
  <si>
    <t xml:space="preserve">15/10</t>
  </si>
  <si>
    <t xml:space="preserve">A2 ngày 2</t>
  </si>
  <si>
    <t xml:space="preserve">14/10</t>
  </si>
  <si>
    <t xml:space="preserve">A2 ngày 3</t>
  </si>
  <si>
    <t xml:space="preserve">13/10</t>
  </si>
  <si>
    <t xml:space="preserve">A2 ngày 4</t>
  </si>
  <si>
    <t xml:space="preserve">12/10</t>
  </si>
  <si>
    <t xml:space="preserve">A2 ngày 5</t>
  </si>
  <si>
    <t xml:space="preserve">08/10</t>
  </si>
  <si>
    <t xml:space="preserve">A2 ngày 6</t>
  </si>
  <si>
    <t xml:space="preserve">A2 ngày 7</t>
  </si>
  <si>
    <t xml:space="preserve">A2 ngày 8</t>
  </si>
  <si>
    <t xml:space="preserve">07/10</t>
  </si>
  <si>
    <t xml:space="preserve">A2 ngày 9</t>
  </si>
  <si>
    <t xml:space="preserve">06/10</t>
  </si>
  <si>
    <t xml:space="preserve">A2 ngày 10</t>
  </si>
  <si>
    <t xml:space="preserve">05/10</t>
  </si>
  <si>
    <t xml:space="preserve">A2 ngày 11</t>
  </si>
  <si>
    <t xml:space="preserve">18/9</t>
  </si>
  <si>
    <t xml:space="preserve">A2 ngày 12</t>
  </si>
  <si>
    <t xml:space="preserve">Đã xong</t>
  </si>
  <si>
    <t xml:space="preserve">23/9</t>
  </si>
  <si>
    <t xml:space="preserve">24/9</t>
  </si>
  <si>
    <t xml:space="preserve">25/9</t>
  </si>
  <si>
    <t xml:space="preserve">28/9</t>
  </si>
  <si>
    <t xml:space="preserve">21/9</t>
  </si>
  <si>
    <t xml:space="preserve">22/9</t>
  </si>
  <si>
    <t xml:space="preserve">26/9</t>
  </si>
  <si>
    <t xml:space="preserve">Quy ước: P22 ngày đầu (8:00-16:00); A2 các ngày sau (12 ngày làm việc, bỏ Chủ nhật), giờ A2 gần nhất trong file là 7:30-12:00.</t>
  </si>
  <si>
    <t xml:space="preserve">Số ngày A2 đã ghi của các nhóm cũ được đếm theo số ngày thực tế có dòng A2 trong file Loss time (đến 03/10); HC lấy theo ngày ghi gần nhất.</t>
  </si>
  <si>
    <t xml:space="preserve">Nhóm 18/9 Assembly: dòng A2 cuối là 02/10, không có 03/10. Nếu 03/10 bị bỏ sót thì số ngày A2 của nhóm này lớn hơn 1 ngày.</t>
  </si>
  <si>
    <t xml:space="preserve">Nhóm 19/9 Assembly (13 ngày) và 19/9 Machining (12 ngày) đã đủ A2 trước 05/10 nên không ghi. Nếu quy định là 13 ngày thì Machining 19/9 (8 người) còn 1 ngày.</t>
  </si>
  <si>
    <t xml:space="preserve">Người ghi "0" ở cột CT/TV vẫn tính vào HC (05/10: 1 người; 06/10: 3 người; 13/10: 3 người Raw Cutting Panel). Danh sách 07/10 không có cột CT/TV nên tính đủ 8 người; 08/10 có 4 người, đều NCU.</t>
  </si>
  <si>
    <t xml:space="preserve">Ngày 09/10 và 10/10 chưa có danh sách nhân viên mới (chờ admin): chưa ghi P22 cho 2 ngày này; khi có sẽ bổ sung P22 của ngày đó và A2 cho các ngày sau.</t>
  </si>
  <si>
    <t xml:space="preserve">Chủ nhật 11/10 không làm nên không tính vào số ngày A2. Ngày 12/10 có 3 nhân viên mới (Assembly 2, Raw Cutting Panel 1), A2 bắt đầu từ 13/10. Ngày 13/10 có 7 nhân viên mới (Assembly 2, Raw Cutting Panel 4, Machining 1), ngày 14/10 có 1 (Assembly), ngày 15/10 có 4 (Assembly), ngày 16/10 có 1 nhân viên mới nhưng chưa rõ khu vực (ghi tạm "Chưa rõ khu vực", cần cập nhật), ngày 17/10 chưa có danh sách nhân viên mới (người dùng sẽ báo sau). Thứ Bảy 17/10 mặc định không tăng ca (P26 và P20 Assembly 7:30-15:30), cần xác nhận. Tài xế xe nâng (Machining 12/10, nhóm IDL-Forklift) không tính theo yêu cầu.</t>
  </si>
  <si>
    <t xml:space="preserve">Thứ Bảy 10/10 không tăng ca: P26 và P20 Assembly ghi 7:30-15:30 (sớm 30 phút so với ca ngày thường 7:30-16:00); 4 dòng P20 ngắn ghi 7:00-7:30 theo mặc định, chờ xác nhận.</t>
  </si>
  <si>
    <t xml:space="preserve">LỊCH A2 CỦA TỪNG NHÓM NHÂN VIÊN MỚI (12 ngày làm việc, bỏ Chủ nhật)</t>
  </si>
  <si>
    <t xml:space="preserve">Ngày P22</t>
  </si>
  <si>
    <t xml:space="preserve">Mỗi ngày trong lịch ghi A2 7:30-12:00, Notes "HC mới- 50% hiệu suất- 2 tuần-dd/mm" (dd/mm = ngày vào làm). Khi có nhóm mới, thêm một dòng.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</si>
</sst>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\-mmm"/>
    <numFmt numFmtId="166" formatCode="h:mm;@"/>
    <numFmt numFmtId="167" formatCode="0.0"/>
    <numFmt numFmtId="168" formatCode="#,##0.0;\-#,##0.0;\-"/>
    <numFmt numFmtId="169" formatCode="d\-mmm\-yyyy"/>
    <numFmt numFmtId="170" formatCode="dd/mm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sz val="11"/>
      <name val="Times New Roman"/>
      <family val="0"/>
      <charset val="1"/>
    </font>
    <font>
      <b val="true"/>
      <sz val="11"/>
      <name val="Times New Roman"/>
      <family val="0"/>
      <charset val="1"/>
    </font>
    <font>
      <i val="true"/>
      <sz val="11"/>
      <name val="Times New Roman"/>
      <family val="0"/>
      <charset val="1"/>
    </font>
    <font>
      <b val="true"/>
      <sz val="14"/>
      <name val="Times New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C00000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0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W41</v>
      </c>
      <c r="B3" s="4" t="n">
        <v>46300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W41</v>
      </c>
      <c r="B4" s="4" t="n">
        <v>46300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W41</v>
      </c>
      <c r="B5" s="4" t="n">
        <v>46300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W41</v>
      </c>
      <c r="B6" s="4" t="n">
        <v>46300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W41</v>
      </c>
      <c r="B7" s="4" t="n">
        <v>46300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W41</v>
      </c>
      <c r="B8" s="4" t="n">
        <v>46300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W41</v>
      </c>
      <c r="B9" s="4" t="n">
        <v>46300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W41</v>
      </c>
      <c r="B10" s="4" t="n">
        <v>46300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W41</v>
      </c>
      <c r="B11" s="4" t="n">
        <v>46300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W41</v>
      </c>
      <c r="B12" s="4" t="n">
        <v>46300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W41</v>
      </c>
      <c r="B13" s="4" t="n">
        <v>46300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W41</v>
      </c>
      <c r="B14" s="4" t="n">
        <v>46300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W41</v>
      </c>
      <c r="B15" s="4" t="n">
        <v>46300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W41</v>
      </c>
      <c r="B16" s="4" t="n">
        <v>46300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W41</v>
      </c>
      <c r="B17" s="4" t="n">
        <v>46300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W41</v>
      </c>
      <c r="B18" s="4" t="n">
        <v>46300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W41</v>
      </c>
      <c r="B19" s="4" t="n">
        <v>46300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W41</v>
      </c>
      <c r="B20" s="4" t="n">
        <v>46300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W41</v>
      </c>
      <c r="B21" s="4" t="n">
        <v>46300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W41</v>
      </c>
      <c r="B22" s="4" t="n">
        <v>46300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W41</v>
      </c>
      <c r="B23" s="9" t="n">
        <v>46300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6</v>
      </c>
      <c r="Q23" s="12" t="n">
        <f aca="false">P23*O23</f>
        <v>48</v>
      </c>
    </row>
    <row r="24" customFormat="false" ht="15" hidden="false" customHeight="false" outlineLevel="0" collapsed="false">
      <c r="A24" s="13" t="str">
        <f aca="false">"W"&amp;WEEKNUM(B24,21)</f>
        <v>W41</v>
      </c>
      <c r="B24" s="14" t="n">
        <v>46300</v>
      </c>
      <c r="C24" s="13"/>
      <c r="D24" s="13"/>
      <c r="E24" s="13"/>
      <c r="F24" s="13"/>
      <c r="G24" s="13" t="s">
        <v>28</v>
      </c>
      <c r="H24" s="13" t="s">
        <v>52</v>
      </c>
      <c r="I24" s="15" t="s">
        <v>53</v>
      </c>
      <c r="J24" s="13" t="s">
        <v>50</v>
      </c>
      <c r="K24" s="15" t="s">
        <v>54</v>
      </c>
      <c r="L24" s="15" t="s">
        <v>55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7</v>
      </c>
      <c r="Q24" s="17" t="n">
        <f aca="false">P24*O24</f>
        <v>31.5</v>
      </c>
    </row>
    <row r="25" customFormat="false" ht="15" hidden="false" customHeight="false" outlineLevel="0" collapsed="false">
      <c r="A25" s="13" t="str">
        <f aca="false">"W"&amp;WEEKNUM(B25,21)</f>
        <v>W41</v>
      </c>
      <c r="B25" s="14" t="n">
        <v>46300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56</v>
      </c>
      <c r="L25" s="15" t="s">
        <v>57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3</v>
      </c>
      <c r="Q25" s="17" t="n">
        <f aca="false">P25*O25</f>
        <v>13.5</v>
      </c>
    </row>
    <row r="26" customFormat="false" ht="15" hidden="false" customHeight="false" outlineLevel="0" collapsed="false">
      <c r="A26" s="13" t="str">
        <f aca="false">"W"&amp;WEEKNUM(B26,21)</f>
        <v>W41</v>
      </c>
      <c r="B26" s="14" t="n">
        <v>46300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58</v>
      </c>
      <c r="L26" s="15" t="s">
        <v>59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5</v>
      </c>
      <c r="Q26" s="17" t="n">
        <f aca="false">P26*O26</f>
        <v>22.5</v>
      </c>
    </row>
    <row r="27" customFormat="false" ht="15" hidden="false" customHeight="false" outlineLevel="0" collapsed="false">
      <c r="A27" s="13" t="str">
        <f aca="false">"W"&amp;WEEKNUM(B27,21)</f>
        <v>W41</v>
      </c>
      <c r="B27" s="14" t="n">
        <v>46300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60</v>
      </c>
      <c r="L27" s="15" t="s">
        <v>61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1</v>
      </c>
      <c r="Q27" s="17" t="n">
        <f aca="false">P27*O27</f>
        <v>4.5</v>
      </c>
    </row>
    <row r="28" customFormat="false" ht="15" hidden="false" customHeight="false" outlineLevel="0" collapsed="false">
      <c r="A28" s="13" t="str">
        <f aca="false">"W"&amp;WEEKNUM(B28,21)</f>
        <v>W41</v>
      </c>
      <c r="B28" s="14" t="n">
        <v>46300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62</v>
      </c>
      <c r="L28" s="15" t="s">
        <v>63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3</v>
      </c>
      <c r="Q28" s="17" t="n">
        <f aca="false">P28*O28</f>
        <v>13.5</v>
      </c>
    </row>
    <row r="29" customFormat="false" ht="15" hidden="false" customHeight="false" outlineLevel="0" collapsed="false">
      <c r="A29" s="13" t="str">
        <f aca="false">"W"&amp;WEEKNUM(B29,21)</f>
        <v>W41</v>
      </c>
      <c r="B29" s="14" t="n">
        <v>46300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64</v>
      </c>
      <c r="L29" s="15" t="s">
        <v>65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W41</v>
      </c>
      <c r="B30" s="14" t="n">
        <v>46300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66</v>
      </c>
      <c r="L30" s="15" t="s">
        <v>67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4</v>
      </c>
      <c r="Q30" s="17" t="n">
        <f aca="false">P30*O30</f>
        <v>18</v>
      </c>
    </row>
    <row r="31" customFormat="false" ht="15" hidden="false" customHeight="false" outlineLevel="0" collapsed="false">
      <c r="A31" s="13" t="str">
        <f aca="false">"W"&amp;WEEKNUM(B31,21)</f>
        <v>W41</v>
      </c>
      <c r="B31" s="14" t="n">
        <v>46300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56</v>
      </c>
      <c r="L31" s="15" t="s">
        <v>57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9</v>
      </c>
      <c r="Q31" s="17" t="n">
        <f aca="false">P31*O31</f>
        <v>40.5</v>
      </c>
    </row>
    <row r="32" customFormat="false" ht="15" hidden="false" customHeight="false" outlineLevel="0" collapsed="false">
      <c r="A32" s="13" t="str">
        <f aca="false">"W"&amp;WEEKNUM(B32,21)</f>
        <v>W41</v>
      </c>
      <c r="B32" s="14" t="n">
        <v>46300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58</v>
      </c>
      <c r="L32" s="15" t="s">
        <v>59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3</v>
      </c>
      <c r="Q32" s="17" t="n">
        <f aca="false">P32*O32</f>
        <v>13.5</v>
      </c>
    </row>
    <row r="33" customFormat="false" ht="15" hidden="false" customHeight="false" outlineLevel="0" collapsed="false">
      <c r="A33" s="13" t="str">
        <f aca="false">"W"&amp;WEEKNUM(B33,21)</f>
        <v>W41</v>
      </c>
      <c r="B33" s="14" t="n">
        <v>46300</v>
      </c>
      <c r="C33" s="13"/>
      <c r="D33" s="13"/>
      <c r="E33" s="13"/>
      <c r="F33" s="13"/>
      <c r="G33" s="13" t="s">
        <v>25</v>
      </c>
      <c r="H33" s="13" t="s">
        <v>52</v>
      </c>
      <c r="I33" s="15" t="s">
        <v>53</v>
      </c>
      <c r="J33" s="13" t="s">
        <v>50</v>
      </c>
      <c r="K33" s="15" t="s">
        <v>60</v>
      </c>
      <c r="L33" s="15" t="s">
        <v>61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1</v>
      </c>
      <c r="Q33" s="17" t="n">
        <f aca="false">P33*O33</f>
        <v>4.5</v>
      </c>
    </row>
    <row r="34" customFormat="false" ht="15" hidden="false" customHeight="false" outlineLevel="0" collapsed="false">
      <c r="A34" s="13" t="str">
        <f aca="false">"W"&amp;WEEKNUM(B34,21)</f>
        <v>W41</v>
      </c>
      <c r="B34" s="14" t="n">
        <v>46300</v>
      </c>
      <c r="C34" s="13"/>
      <c r="D34" s="13"/>
      <c r="E34" s="13"/>
      <c r="F34" s="13"/>
      <c r="G34" s="13" t="s">
        <v>68</v>
      </c>
      <c r="H34" s="13" t="s">
        <v>52</v>
      </c>
      <c r="I34" s="15" t="s">
        <v>53</v>
      </c>
      <c r="J34" s="13" t="s">
        <v>50</v>
      </c>
      <c r="K34" s="15" t="s">
        <v>66</v>
      </c>
      <c r="L34" s="15" t="s">
        <v>67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W41</v>
      </c>
      <c r="B35" s="14" t="n">
        <v>46300</v>
      </c>
      <c r="C35" s="13"/>
      <c r="D35" s="13"/>
      <c r="E35" s="13"/>
      <c r="F35" s="13"/>
      <c r="G35" s="13" t="s">
        <v>68</v>
      </c>
      <c r="H35" s="13" t="s">
        <v>52</v>
      </c>
      <c r="I35" s="15" t="s">
        <v>53</v>
      </c>
      <c r="J35" s="13" t="s">
        <v>50</v>
      </c>
      <c r="K35" s="15" t="s">
        <v>56</v>
      </c>
      <c r="L35" s="15" t="s">
        <v>69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W41</v>
      </c>
      <c r="B36" s="14" t="n">
        <v>46300</v>
      </c>
      <c r="C36" s="13"/>
      <c r="D36" s="13"/>
      <c r="E36" s="13"/>
      <c r="F36" s="13"/>
      <c r="G36" s="13" t="s">
        <v>68</v>
      </c>
      <c r="H36" s="13" t="s">
        <v>52</v>
      </c>
      <c r="I36" s="15" t="s">
        <v>53</v>
      </c>
      <c r="J36" s="13" t="s">
        <v>50</v>
      </c>
      <c r="K36" s="15" t="s">
        <v>58</v>
      </c>
      <c r="L36" s="15" t="s">
        <v>59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2</v>
      </c>
      <c r="Q36" s="17" t="n">
        <f aca="false">P36*O36</f>
        <v>9</v>
      </c>
    </row>
    <row r="37" customFormat="false" ht="15" hidden="false" customHeight="false" outlineLevel="0" collapsed="false">
      <c r="A37" s="13" t="str">
        <f aca="false">"W"&amp;WEEKNUM(B37,21)</f>
        <v>W41</v>
      </c>
      <c r="B37" s="14" t="n">
        <v>46300</v>
      </c>
      <c r="C37" s="13"/>
      <c r="D37" s="13"/>
      <c r="E37" s="13"/>
      <c r="F37" s="13"/>
      <c r="G37" s="13" t="s">
        <v>68</v>
      </c>
      <c r="H37" s="13" t="s">
        <v>52</v>
      </c>
      <c r="I37" s="15" t="s">
        <v>53</v>
      </c>
      <c r="J37" s="13" t="s">
        <v>50</v>
      </c>
      <c r="K37" s="15" t="s">
        <v>70</v>
      </c>
      <c r="L37" s="15" t="s">
        <v>71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1</v>
      </c>
      <c r="Q37" s="17" t="n">
        <f aca="false">P37*O37</f>
        <v>4.5</v>
      </c>
    </row>
    <row r="38" customFormat="false" ht="15" hidden="false" customHeight="false" outlineLevel="0" collapsed="false">
      <c r="A38" s="13" t="str">
        <f aca="false">"W"&amp;WEEKNUM(B38,21)</f>
        <v>W41</v>
      </c>
      <c r="B38" s="14" t="n">
        <v>46300</v>
      </c>
      <c r="C38" s="13"/>
      <c r="D38" s="13"/>
      <c r="E38" s="13"/>
      <c r="F38" s="13"/>
      <c r="G38" s="13" t="s">
        <v>72</v>
      </c>
      <c r="H38" s="13" t="s">
        <v>52</v>
      </c>
      <c r="I38" s="15" t="s">
        <v>53</v>
      </c>
      <c r="J38" s="13" t="s">
        <v>50</v>
      </c>
      <c r="K38" s="15" t="s">
        <v>56</v>
      </c>
      <c r="L38" s="15" t="s">
        <v>73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3</v>
      </c>
      <c r="Q38" s="17" t="n">
        <f aca="false">P38*O38</f>
        <v>13.5</v>
      </c>
    </row>
    <row r="39" customFormat="false" ht="15" hidden="false" customHeight="false" outlineLevel="0" collapsed="false">
      <c r="A39" s="13" t="str">
        <f aca="false">"W"&amp;WEEKNUM(B39,21)</f>
        <v>W41</v>
      </c>
      <c r="B39" s="14" t="n">
        <v>46300</v>
      </c>
      <c r="C39" s="13"/>
      <c r="D39" s="13"/>
      <c r="E39" s="13"/>
      <c r="F39" s="13"/>
      <c r="G39" s="13" t="s">
        <v>72</v>
      </c>
      <c r="H39" s="13" t="s">
        <v>52</v>
      </c>
      <c r="I39" s="15" t="s">
        <v>53</v>
      </c>
      <c r="J39" s="13" t="s">
        <v>50</v>
      </c>
      <c r="K39" s="15" t="s">
        <v>60</v>
      </c>
      <c r="L39" s="15" t="s">
        <v>74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P40" s="18" t="s">
        <v>75</v>
      </c>
      <c r="Q40" s="19" t="n">
        <f aca="false">SUM(Q3:Q39)</f>
        <v>531.5</v>
      </c>
    </row>
    <row r="42" customFormat="false" ht="15" hidden="false" customHeight="false" outlineLevel="0" collapsed="false">
      <c r="A42" s="20" t="s">
        <v>76</v>
      </c>
    </row>
  </sheetData>
  <autoFilter ref="A2:Q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77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W41</v>
      </c>
      <c r="B3" s="4" t="n">
        <v>46301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W41</v>
      </c>
      <c r="B4" s="4" t="n">
        <v>46301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W41</v>
      </c>
      <c r="B5" s="4" t="n">
        <v>46301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W41</v>
      </c>
      <c r="B6" s="4" t="n">
        <v>46301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W41</v>
      </c>
      <c r="B7" s="4" t="n">
        <v>46301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W41</v>
      </c>
      <c r="B8" s="4" t="n">
        <v>46301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W41</v>
      </c>
      <c r="B9" s="4" t="n">
        <v>46301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W41</v>
      </c>
      <c r="B10" s="4" t="n">
        <v>46301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W41</v>
      </c>
      <c r="B11" s="4" t="n">
        <v>46301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W41</v>
      </c>
      <c r="B12" s="4" t="n">
        <v>46301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W41</v>
      </c>
      <c r="B13" s="4" t="n">
        <v>46301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W41</v>
      </c>
      <c r="B14" s="4" t="n">
        <v>46301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W41</v>
      </c>
      <c r="B15" s="4" t="n">
        <v>46301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W41</v>
      </c>
      <c r="B16" s="4" t="n">
        <v>46301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W41</v>
      </c>
      <c r="B17" s="4" t="n">
        <v>46301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W41</v>
      </c>
      <c r="B18" s="4" t="n">
        <v>46301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W41</v>
      </c>
      <c r="B19" s="4" t="n">
        <v>46301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W41</v>
      </c>
      <c r="B20" s="4" t="n">
        <v>46301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W41</v>
      </c>
      <c r="B21" s="4" t="n">
        <v>46301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W41</v>
      </c>
      <c r="B22" s="4" t="n">
        <v>46301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W41</v>
      </c>
      <c r="B23" s="9" t="n">
        <v>46301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7</v>
      </c>
      <c r="Q23" s="12" t="n">
        <f aca="false">P23*O23</f>
        <v>56</v>
      </c>
    </row>
    <row r="24" customFormat="false" ht="15" hidden="false" customHeight="false" outlineLevel="0" collapsed="false">
      <c r="A24" s="8" t="str">
        <f aca="false">"W"&amp;WEEKNUM(B24,21)</f>
        <v>W41</v>
      </c>
      <c r="B24" s="9" t="n">
        <v>46301</v>
      </c>
      <c r="C24" s="8"/>
      <c r="D24" s="8"/>
      <c r="E24" s="8"/>
      <c r="F24" s="8"/>
      <c r="G24" s="8" t="s">
        <v>72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4</v>
      </c>
      <c r="Q24" s="12" t="n">
        <f aca="false">P24*O24</f>
        <v>32</v>
      </c>
    </row>
    <row r="25" customFormat="false" ht="15" hidden="false" customHeight="false" outlineLevel="0" collapsed="false">
      <c r="A25" s="8" t="str">
        <f aca="false">"W"&amp;WEEKNUM(B25,21)</f>
        <v>W41</v>
      </c>
      <c r="B25" s="9" t="n">
        <v>46301</v>
      </c>
      <c r="C25" s="8"/>
      <c r="D25" s="8"/>
      <c r="E25" s="8"/>
      <c r="F25" s="8"/>
      <c r="G25" s="8" t="s">
        <v>25</v>
      </c>
      <c r="H25" s="8" t="s">
        <v>48</v>
      </c>
      <c r="I25" s="10" t="s">
        <v>49</v>
      </c>
      <c r="J25" s="8" t="s">
        <v>50</v>
      </c>
      <c r="K25" s="10" t="s">
        <v>51</v>
      </c>
      <c r="L25" s="10"/>
      <c r="M25" s="11" t="n">
        <v>0.333333333333333</v>
      </c>
      <c r="N25" s="11" t="n">
        <v>0.666666666666667</v>
      </c>
      <c r="O25" s="12" t="n">
        <f aca="false">(N25-M25)*24</f>
        <v>8</v>
      </c>
      <c r="P25" s="8" t="n">
        <v>3</v>
      </c>
      <c r="Q25" s="12" t="n">
        <f aca="false">P25*O25</f>
        <v>24</v>
      </c>
    </row>
    <row r="26" customFormat="false" ht="15" hidden="false" customHeight="false" outlineLevel="0" collapsed="false">
      <c r="A26" s="13" t="str">
        <f aca="false">"W"&amp;WEEKNUM(B26,21)</f>
        <v>W41</v>
      </c>
      <c r="B26" s="14" t="n">
        <v>46301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54</v>
      </c>
      <c r="L26" s="15" t="s">
        <v>78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7</v>
      </c>
      <c r="Q26" s="17" t="n">
        <f aca="false">P26*O26</f>
        <v>31.5</v>
      </c>
    </row>
    <row r="27" customFormat="false" ht="15" hidden="false" customHeight="false" outlineLevel="0" collapsed="false">
      <c r="A27" s="13" t="str">
        <f aca="false">"W"&amp;WEEKNUM(B27,21)</f>
        <v>W41</v>
      </c>
      <c r="B27" s="14" t="n">
        <v>46301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56</v>
      </c>
      <c r="L27" s="15" t="s">
        <v>79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3</v>
      </c>
      <c r="Q27" s="17" t="n">
        <f aca="false">P27*O27</f>
        <v>13.5</v>
      </c>
    </row>
    <row r="28" customFormat="false" ht="15" hidden="false" customHeight="false" outlineLevel="0" collapsed="false">
      <c r="A28" s="13" t="str">
        <f aca="false">"W"&amp;WEEKNUM(B28,21)</f>
        <v>W41</v>
      </c>
      <c r="B28" s="14" t="n">
        <v>46301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58</v>
      </c>
      <c r="L28" s="15" t="s">
        <v>80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5</v>
      </c>
      <c r="Q28" s="17" t="n">
        <f aca="false">P28*O28</f>
        <v>22.5</v>
      </c>
    </row>
    <row r="29" customFormat="false" ht="15" hidden="false" customHeight="false" outlineLevel="0" collapsed="false">
      <c r="A29" s="13" t="str">
        <f aca="false">"W"&amp;WEEKNUM(B29,21)</f>
        <v>W41</v>
      </c>
      <c r="B29" s="14" t="n">
        <v>46301</v>
      </c>
      <c r="C29" s="13"/>
      <c r="D29" s="13"/>
      <c r="E29" s="13"/>
      <c r="F29" s="13"/>
      <c r="G29" s="13" t="s">
        <v>28</v>
      </c>
      <c r="H29" s="13" t="s">
        <v>52</v>
      </c>
      <c r="I29" s="15" t="s">
        <v>53</v>
      </c>
      <c r="J29" s="13" t="s">
        <v>50</v>
      </c>
      <c r="K29" s="15" t="s">
        <v>60</v>
      </c>
      <c r="L29" s="15" t="s">
        <v>81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1</v>
      </c>
      <c r="Q29" s="17" t="n">
        <f aca="false">P29*O29</f>
        <v>4.5</v>
      </c>
    </row>
    <row r="30" customFormat="false" ht="15" hidden="false" customHeight="false" outlineLevel="0" collapsed="false">
      <c r="A30" s="13" t="str">
        <f aca="false">"W"&amp;WEEKNUM(B30,21)</f>
        <v>W41</v>
      </c>
      <c r="B30" s="14" t="n">
        <v>46301</v>
      </c>
      <c r="C30" s="13"/>
      <c r="D30" s="13"/>
      <c r="E30" s="13"/>
      <c r="F30" s="13"/>
      <c r="G30" s="13" t="s">
        <v>28</v>
      </c>
      <c r="H30" s="13" t="s">
        <v>52</v>
      </c>
      <c r="I30" s="15" t="s">
        <v>53</v>
      </c>
      <c r="J30" s="13" t="s">
        <v>50</v>
      </c>
      <c r="K30" s="15" t="s">
        <v>62</v>
      </c>
      <c r="L30" s="15" t="s">
        <v>82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3</v>
      </c>
      <c r="Q30" s="17" t="n">
        <f aca="false">P30*O30</f>
        <v>13.5</v>
      </c>
    </row>
    <row r="31" customFormat="false" ht="15" hidden="false" customHeight="false" outlineLevel="0" collapsed="false">
      <c r="A31" s="13" t="str">
        <f aca="false">"W"&amp;WEEKNUM(B31,21)</f>
        <v>W41</v>
      </c>
      <c r="B31" s="14" t="n">
        <v>46301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64</v>
      </c>
      <c r="L31" s="15" t="s">
        <v>83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2</v>
      </c>
      <c r="Q31" s="17" t="n">
        <f aca="false">P31*O31</f>
        <v>9</v>
      </c>
    </row>
    <row r="32" customFormat="false" ht="15" hidden="false" customHeight="false" outlineLevel="0" collapsed="false">
      <c r="A32" s="13" t="str">
        <f aca="false">"W"&amp;WEEKNUM(B32,21)</f>
        <v>W41</v>
      </c>
      <c r="B32" s="14" t="n">
        <v>46301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66</v>
      </c>
      <c r="L32" s="15" t="s">
        <v>84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4</v>
      </c>
      <c r="Q32" s="17" t="n">
        <f aca="false">P32*O32</f>
        <v>18</v>
      </c>
    </row>
    <row r="33" customFormat="false" ht="15" hidden="false" customHeight="false" outlineLevel="0" collapsed="false">
      <c r="A33" s="13" t="str">
        <f aca="false">"W"&amp;WEEKNUM(B33,21)</f>
        <v>W41</v>
      </c>
      <c r="B33" s="14" t="n">
        <v>46301</v>
      </c>
      <c r="C33" s="13"/>
      <c r="D33" s="13"/>
      <c r="E33" s="13"/>
      <c r="F33" s="13"/>
      <c r="G33" s="13" t="s">
        <v>25</v>
      </c>
      <c r="H33" s="13" t="s">
        <v>52</v>
      </c>
      <c r="I33" s="15" t="s">
        <v>53</v>
      </c>
      <c r="J33" s="13" t="s">
        <v>50</v>
      </c>
      <c r="K33" s="15" t="s">
        <v>56</v>
      </c>
      <c r="L33" s="15" t="s">
        <v>79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9</v>
      </c>
      <c r="Q33" s="17" t="n">
        <f aca="false">P33*O33</f>
        <v>40.5</v>
      </c>
    </row>
    <row r="34" customFormat="false" ht="15" hidden="false" customHeight="false" outlineLevel="0" collapsed="false">
      <c r="A34" s="13" t="str">
        <f aca="false">"W"&amp;WEEKNUM(B34,21)</f>
        <v>W41</v>
      </c>
      <c r="B34" s="14" t="n">
        <v>46301</v>
      </c>
      <c r="C34" s="13"/>
      <c r="D34" s="13"/>
      <c r="E34" s="13"/>
      <c r="F34" s="13"/>
      <c r="G34" s="13" t="s">
        <v>25</v>
      </c>
      <c r="H34" s="13" t="s">
        <v>52</v>
      </c>
      <c r="I34" s="15" t="s">
        <v>53</v>
      </c>
      <c r="J34" s="13" t="s">
        <v>50</v>
      </c>
      <c r="K34" s="15" t="s">
        <v>58</v>
      </c>
      <c r="L34" s="15" t="s">
        <v>80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3</v>
      </c>
      <c r="Q34" s="17" t="n">
        <f aca="false">P34*O34</f>
        <v>13.5</v>
      </c>
    </row>
    <row r="35" customFormat="false" ht="15" hidden="false" customHeight="false" outlineLevel="0" collapsed="false">
      <c r="A35" s="13" t="str">
        <f aca="false">"W"&amp;WEEKNUM(B35,21)</f>
        <v>W41</v>
      </c>
      <c r="B35" s="14" t="n">
        <v>46301</v>
      </c>
      <c r="C35" s="13"/>
      <c r="D35" s="13"/>
      <c r="E35" s="13"/>
      <c r="F35" s="13"/>
      <c r="G35" s="13" t="s">
        <v>25</v>
      </c>
      <c r="H35" s="13" t="s">
        <v>52</v>
      </c>
      <c r="I35" s="15" t="s">
        <v>53</v>
      </c>
      <c r="J35" s="13" t="s">
        <v>50</v>
      </c>
      <c r="K35" s="15" t="s">
        <v>60</v>
      </c>
      <c r="L35" s="15" t="s">
        <v>81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W41</v>
      </c>
      <c r="B36" s="14" t="n">
        <v>46301</v>
      </c>
      <c r="C36" s="13"/>
      <c r="D36" s="13"/>
      <c r="E36" s="13"/>
      <c r="F36" s="13"/>
      <c r="G36" s="13" t="s">
        <v>68</v>
      </c>
      <c r="H36" s="13" t="s">
        <v>52</v>
      </c>
      <c r="I36" s="15" t="s">
        <v>53</v>
      </c>
      <c r="J36" s="13" t="s">
        <v>50</v>
      </c>
      <c r="K36" s="15" t="s">
        <v>66</v>
      </c>
      <c r="L36" s="15" t="s">
        <v>84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W41</v>
      </c>
      <c r="B37" s="14" t="n">
        <v>46301</v>
      </c>
      <c r="C37" s="13"/>
      <c r="D37" s="13"/>
      <c r="E37" s="13"/>
      <c r="F37" s="13"/>
      <c r="G37" s="13" t="s">
        <v>68</v>
      </c>
      <c r="H37" s="13" t="s">
        <v>52</v>
      </c>
      <c r="I37" s="15" t="s">
        <v>53</v>
      </c>
      <c r="J37" s="13" t="s">
        <v>50</v>
      </c>
      <c r="K37" s="15" t="s">
        <v>56</v>
      </c>
      <c r="L37" s="15" t="s">
        <v>85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1</v>
      </c>
      <c r="Q37" s="17" t="n">
        <f aca="false">P37*O37</f>
        <v>4.5</v>
      </c>
    </row>
    <row r="38" customFormat="false" ht="15" hidden="false" customHeight="false" outlineLevel="0" collapsed="false">
      <c r="A38" s="13" t="str">
        <f aca="false">"W"&amp;WEEKNUM(B38,21)</f>
        <v>W41</v>
      </c>
      <c r="B38" s="14" t="n">
        <v>46301</v>
      </c>
      <c r="C38" s="13"/>
      <c r="D38" s="13"/>
      <c r="E38" s="13"/>
      <c r="F38" s="13"/>
      <c r="G38" s="13" t="s">
        <v>68</v>
      </c>
      <c r="H38" s="13" t="s">
        <v>52</v>
      </c>
      <c r="I38" s="15" t="s">
        <v>53</v>
      </c>
      <c r="J38" s="13" t="s">
        <v>50</v>
      </c>
      <c r="K38" s="15" t="s">
        <v>58</v>
      </c>
      <c r="L38" s="15" t="s">
        <v>80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2</v>
      </c>
      <c r="Q38" s="17" t="n">
        <f aca="false">P38*O38</f>
        <v>9</v>
      </c>
    </row>
    <row r="39" customFormat="false" ht="15" hidden="false" customHeight="false" outlineLevel="0" collapsed="false">
      <c r="A39" s="13" t="str">
        <f aca="false">"W"&amp;WEEKNUM(B39,21)</f>
        <v>W41</v>
      </c>
      <c r="B39" s="14" t="n">
        <v>46301</v>
      </c>
      <c r="C39" s="13"/>
      <c r="D39" s="13"/>
      <c r="E39" s="13"/>
      <c r="F39" s="13"/>
      <c r="G39" s="13" t="s">
        <v>68</v>
      </c>
      <c r="H39" s="13" t="s">
        <v>52</v>
      </c>
      <c r="I39" s="15" t="s">
        <v>53</v>
      </c>
      <c r="J39" s="13" t="s">
        <v>50</v>
      </c>
      <c r="K39" s="15" t="s">
        <v>70</v>
      </c>
      <c r="L39" s="15" t="s">
        <v>86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A40" s="13" t="str">
        <f aca="false">"W"&amp;WEEKNUM(B40,21)</f>
        <v>W41</v>
      </c>
      <c r="B40" s="14" t="n">
        <v>46301</v>
      </c>
      <c r="C40" s="13"/>
      <c r="D40" s="13"/>
      <c r="E40" s="13"/>
      <c r="F40" s="13"/>
      <c r="G40" s="13" t="s">
        <v>72</v>
      </c>
      <c r="H40" s="13" t="s">
        <v>52</v>
      </c>
      <c r="I40" s="15" t="s">
        <v>53</v>
      </c>
      <c r="J40" s="13" t="s">
        <v>50</v>
      </c>
      <c r="K40" s="15" t="s">
        <v>56</v>
      </c>
      <c r="L40" s="15" t="s">
        <v>69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3</v>
      </c>
      <c r="Q40" s="17" t="n">
        <f aca="false">P40*O40</f>
        <v>13.5</v>
      </c>
    </row>
    <row r="41" customFormat="false" ht="15" hidden="false" customHeight="false" outlineLevel="0" collapsed="false">
      <c r="A41" s="13" t="str">
        <f aca="false">"W"&amp;WEEKNUM(B41,21)</f>
        <v>W41</v>
      </c>
      <c r="B41" s="14" t="n">
        <v>46301</v>
      </c>
      <c r="C41" s="13"/>
      <c r="D41" s="13"/>
      <c r="E41" s="13"/>
      <c r="F41" s="13"/>
      <c r="G41" s="13" t="s">
        <v>72</v>
      </c>
      <c r="H41" s="13" t="s">
        <v>52</v>
      </c>
      <c r="I41" s="15" t="s">
        <v>53</v>
      </c>
      <c r="J41" s="13" t="s">
        <v>50</v>
      </c>
      <c r="K41" s="15" t="s">
        <v>60</v>
      </c>
      <c r="L41" s="15" t="s">
        <v>61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1</v>
      </c>
      <c r="Q41" s="17" t="n">
        <f aca="false">P41*O41</f>
        <v>4.5</v>
      </c>
    </row>
    <row r="42" customFormat="false" ht="15" hidden="false" customHeight="false" outlineLevel="0" collapsed="false">
      <c r="A42" s="13" t="str">
        <f aca="false">"W"&amp;WEEKNUM(B42,21)</f>
        <v>W41</v>
      </c>
      <c r="B42" s="14" t="n">
        <v>46301</v>
      </c>
      <c r="C42" s="13"/>
      <c r="D42" s="13"/>
      <c r="E42" s="13"/>
      <c r="F42" s="13"/>
      <c r="G42" s="13" t="s">
        <v>28</v>
      </c>
      <c r="H42" s="13" t="s">
        <v>52</v>
      </c>
      <c r="I42" s="15" t="s">
        <v>53</v>
      </c>
      <c r="J42" s="13" t="s">
        <v>50</v>
      </c>
      <c r="K42" s="15" t="s">
        <v>87</v>
      </c>
      <c r="L42" s="15" t="s">
        <v>88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6</v>
      </c>
      <c r="Q42" s="17" t="n">
        <f aca="false">P42*O42</f>
        <v>27</v>
      </c>
    </row>
    <row r="43" customFormat="false" ht="15" hidden="false" customHeight="false" outlineLevel="0" collapsed="false">
      <c r="P43" s="18" t="s">
        <v>75</v>
      </c>
      <c r="Q43" s="19" t="n">
        <f aca="false">SUM(Q3:Q42)</f>
        <v>622.5</v>
      </c>
    </row>
    <row r="45" customFormat="false" ht="15" hidden="false" customHeight="false" outlineLevel="0" collapsed="false">
      <c r="A45" s="20" t="s">
        <v>76</v>
      </c>
    </row>
  </sheetData>
  <autoFilter ref="A2:Q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89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W41</v>
      </c>
      <c r="B3" s="4" t="n">
        <v>46302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W41</v>
      </c>
      <c r="B4" s="4" t="n">
        <v>46302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W41</v>
      </c>
      <c r="B5" s="4" t="n">
        <v>46302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W41</v>
      </c>
      <c r="B6" s="4" t="n">
        <v>46302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W41</v>
      </c>
      <c r="B7" s="4" t="n">
        <v>46302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W41</v>
      </c>
      <c r="B8" s="4" t="n">
        <v>46302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W41</v>
      </c>
      <c r="B9" s="4" t="n">
        <v>46302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W41</v>
      </c>
      <c r="B10" s="4" t="n">
        <v>46302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W41</v>
      </c>
      <c r="B11" s="4" t="n">
        <v>46302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W41</v>
      </c>
      <c r="B12" s="4" t="n">
        <v>46302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W41</v>
      </c>
      <c r="B13" s="4" t="n">
        <v>46302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W41</v>
      </c>
      <c r="B14" s="4" t="n">
        <v>46302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W41</v>
      </c>
      <c r="B15" s="4" t="n">
        <v>46302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W41</v>
      </c>
      <c r="B16" s="4" t="n">
        <v>46302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W41</v>
      </c>
      <c r="B17" s="4" t="n">
        <v>46302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W41</v>
      </c>
      <c r="B18" s="4" t="n">
        <v>46302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W41</v>
      </c>
      <c r="B19" s="4" t="n">
        <v>46302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W41</v>
      </c>
      <c r="B20" s="4" t="n">
        <v>46302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W41</v>
      </c>
      <c r="B21" s="4" t="n">
        <v>46302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W41</v>
      </c>
      <c r="B22" s="4" t="n">
        <v>46302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W41</v>
      </c>
      <c r="B23" s="9" t="n">
        <v>46302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6</v>
      </c>
      <c r="Q23" s="12" t="n">
        <f aca="false">P23*O23</f>
        <v>48</v>
      </c>
    </row>
    <row r="24" customFormat="false" ht="15" hidden="false" customHeight="false" outlineLevel="0" collapsed="false">
      <c r="A24" s="8" t="str">
        <f aca="false">"W"&amp;WEEKNUM(B24,21)</f>
        <v>W41</v>
      </c>
      <c r="B24" s="9" t="n">
        <v>46302</v>
      </c>
      <c r="C24" s="8"/>
      <c r="D24" s="8"/>
      <c r="E24" s="8"/>
      <c r="F24" s="8"/>
      <c r="G24" s="8" t="s">
        <v>72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2</v>
      </c>
      <c r="Q24" s="12" t="n">
        <f aca="false">P24*O24</f>
        <v>16</v>
      </c>
    </row>
    <row r="25" customFormat="false" ht="15" hidden="false" customHeight="false" outlineLevel="0" collapsed="false">
      <c r="A25" s="13" t="str">
        <f aca="false">"W"&amp;WEEKNUM(B25,21)</f>
        <v>W41</v>
      </c>
      <c r="B25" s="14" t="n">
        <v>46302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54</v>
      </c>
      <c r="L25" s="15" t="s">
        <v>90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7</v>
      </c>
      <c r="Q25" s="17" t="n">
        <f aca="false">P25*O25</f>
        <v>31.5</v>
      </c>
    </row>
    <row r="26" customFormat="false" ht="15" hidden="false" customHeight="false" outlineLevel="0" collapsed="false">
      <c r="A26" s="13" t="str">
        <f aca="false">"W"&amp;WEEKNUM(B26,21)</f>
        <v>W41</v>
      </c>
      <c r="B26" s="14" t="n">
        <v>46302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56</v>
      </c>
      <c r="L26" s="15" t="s">
        <v>91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3</v>
      </c>
      <c r="Q26" s="17" t="n">
        <f aca="false">P26*O26</f>
        <v>13.5</v>
      </c>
    </row>
    <row r="27" customFormat="false" ht="15" hidden="false" customHeight="false" outlineLevel="0" collapsed="false">
      <c r="A27" s="13" t="str">
        <f aca="false">"W"&amp;WEEKNUM(B27,21)</f>
        <v>W41</v>
      </c>
      <c r="B27" s="14" t="n">
        <v>46302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58</v>
      </c>
      <c r="L27" s="15" t="s">
        <v>92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5</v>
      </c>
      <c r="Q27" s="17" t="n">
        <f aca="false">P27*O27</f>
        <v>22.5</v>
      </c>
    </row>
    <row r="28" customFormat="false" ht="15" hidden="false" customHeight="false" outlineLevel="0" collapsed="false">
      <c r="A28" s="13" t="str">
        <f aca="false">"W"&amp;WEEKNUM(B28,21)</f>
        <v>W41</v>
      </c>
      <c r="B28" s="14" t="n">
        <v>46302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60</v>
      </c>
      <c r="L28" s="15" t="s">
        <v>93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1</v>
      </c>
      <c r="Q28" s="17" t="n">
        <f aca="false">P28*O28</f>
        <v>4.5</v>
      </c>
    </row>
    <row r="29" customFormat="false" ht="15" hidden="false" customHeight="false" outlineLevel="0" collapsed="false">
      <c r="A29" s="13" t="str">
        <f aca="false">"W"&amp;WEEKNUM(B29,21)</f>
        <v>W41</v>
      </c>
      <c r="B29" s="14" t="n">
        <v>46302</v>
      </c>
      <c r="C29" s="13"/>
      <c r="D29" s="13"/>
      <c r="E29" s="13"/>
      <c r="F29" s="13"/>
      <c r="G29" s="13" t="s">
        <v>28</v>
      </c>
      <c r="H29" s="13" t="s">
        <v>52</v>
      </c>
      <c r="I29" s="15" t="s">
        <v>53</v>
      </c>
      <c r="J29" s="13" t="s">
        <v>50</v>
      </c>
      <c r="K29" s="15" t="s">
        <v>62</v>
      </c>
      <c r="L29" s="15" t="s">
        <v>94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3</v>
      </c>
      <c r="Q29" s="17" t="n">
        <f aca="false">P29*O29</f>
        <v>13.5</v>
      </c>
    </row>
    <row r="30" customFormat="false" ht="15" hidden="false" customHeight="false" outlineLevel="0" collapsed="false">
      <c r="A30" s="13" t="str">
        <f aca="false">"W"&amp;WEEKNUM(B30,21)</f>
        <v>W41</v>
      </c>
      <c r="B30" s="14" t="n">
        <v>46302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64</v>
      </c>
      <c r="L30" s="15" t="s">
        <v>95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2</v>
      </c>
      <c r="Q30" s="17" t="n">
        <f aca="false">P30*O30</f>
        <v>9</v>
      </c>
    </row>
    <row r="31" customFormat="false" ht="15" hidden="false" customHeight="false" outlineLevel="0" collapsed="false">
      <c r="A31" s="13" t="str">
        <f aca="false">"W"&amp;WEEKNUM(B31,21)</f>
        <v>W41</v>
      </c>
      <c r="B31" s="14" t="n">
        <v>46302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66</v>
      </c>
      <c r="L31" s="15" t="s">
        <v>96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4</v>
      </c>
      <c r="Q31" s="17" t="n">
        <f aca="false">P31*O31</f>
        <v>18</v>
      </c>
    </row>
    <row r="32" customFormat="false" ht="15" hidden="false" customHeight="false" outlineLevel="0" collapsed="false">
      <c r="A32" s="13" t="str">
        <f aca="false">"W"&amp;WEEKNUM(B32,21)</f>
        <v>W41</v>
      </c>
      <c r="B32" s="14" t="n">
        <v>46302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56</v>
      </c>
      <c r="L32" s="15" t="s">
        <v>91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9</v>
      </c>
      <c r="Q32" s="17" t="n">
        <f aca="false">P32*O32</f>
        <v>40.5</v>
      </c>
    </row>
    <row r="33" customFormat="false" ht="15" hidden="false" customHeight="false" outlineLevel="0" collapsed="false">
      <c r="A33" s="13" t="str">
        <f aca="false">"W"&amp;WEEKNUM(B33,21)</f>
        <v>W41</v>
      </c>
      <c r="B33" s="14" t="n">
        <v>46302</v>
      </c>
      <c r="C33" s="13"/>
      <c r="D33" s="13"/>
      <c r="E33" s="13"/>
      <c r="F33" s="13"/>
      <c r="G33" s="13" t="s">
        <v>25</v>
      </c>
      <c r="H33" s="13" t="s">
        <v>52</v>
      </c>
      <c r="I33" s="15" t="s">
        <v>53</v>
      </c>
      <c r="J33" s="13" t="s">
        <v>50</v>
      </c>
      <c r="K33" s="15" t="s">
        <v>58</v>
      </c>
      <c r="L33" s="15" t="s">
        <v>92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3</v>
      </c>
      <c r="Q33" s="17" t="n">
        <f aca="false">P33*O33</f>
        <v>13.5</v>
      </c>
    </row>
    <row r="34" customFormat="false" ht="15" hidden="false" customHeight="false" outlineLevel="0" collapsed="false">
      <c r="A34" s="13" t="str">
        <f aca="false">"W"&amp;WEEKNUM(B34,21)</f>
        <v>W41</v>
      </c>
      <c r="B34" s="14" t="n">
        <v>46302</v>
      </c>
      <c r="C34" s="13"/>
      <c r="D34" s="13"/>
      <c r="E34" s="13"/>
      <c r="F34" s="13"/>
      <c r="G34" s="13" t="s">
        <v>25</v>
      </c>
      <c r="H34" s="13" t="s">
        <v>52</v>
      </c>
      <c r="I34" s="15" t="s">
        <v>53</v>
      </c>
      <c r="J34" s="13" t="s">
        <v>50</v>
      </c>
      <c r="K34" s="15" t="s">
        <v>60</v>
      </c>
      <c r="L34" s="15" t="s">
        <v>93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W41</v>
      </c>
      <c r="B35" s="14" t="n">
        <v>46302</v>
      </c>
      <c r="C35" s="13"/>
      <c r="D35" s="13"/>
      <c r="E35" s="13"/>
      <c r="F35" s="13"/>
      <c r="G35" s="13" t="s">
        <v>68</v>
      </c>
      <c r="H35" s="13" t="s">
        <v>52</v>
      </c>
      <c r="I35" s="15" t="s">
        <v>53</v>
      </c>
      <c r="J35" s="13" t="s">
        <v>50</v>
      </c>
      <c r="K35" s="15" t="s">
        <v>66</v>
      </c>
      <c r="L35" s="15" t="s">
        <v>96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W41</v>
      </c>
      <c r="B36" s="14" t="n">
        <v>46302</v>
      </c>
      <c r="C36" s="13"/>
      <c r="D36" s="13"/>
      <c r="E36" s="13"/>
      <c r="F36" s="13"/>
      <c r="G36" s="13" t="s">
        <v>68</v>
      </c>
      <c r="H36" s="13" t="s">
        <v>52</v>
      </c>
      <c r="I36" s="15" t="s">
        <v>53</v>
      </c>
      <c r="J36" s="13" t="s">
        <v>50</v>
      </c>
      <c r="K36" s="15" t="s">
        <v>56</v>
      </c>
      <c r="L36" s="15" t="s">
        <v>97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W41</v>
      </c>
      <c r="B37" s="14" t="n">
        <v>46302</v>
      </c>
      <c r="C37" s="13"/>
      <c r="D37" s="13"/>
      <c r="E37" s="13"/>
      <c r="F37" s="13"/>
      <c r="G37" s="13" t="s">
        <v>68</v>
      </c>
      <c r="H37" s="13" t="s">
        <v>52</v>
      </c>
      <c r="I37" s="15" t="s">
        <v>53</v>
      </c>
      <c r="J37" s="13" t="s">
        <v>50</v>
      </c>
      <c r="K37" s="15" t="s">
        <v>58</v>
      </c>
      <c r="L37" s="15" t="s">
        <v>92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2</v>
      </c>
      <c r="Q37" s="17" t="n">
        <f aca="false">P37*O37</f>
        <v>9</v>
      </c>
    </row>
    <row r="38" customFormat="false" ht="15" hidden="false" customHeight="false" outlineLevel="0" collapsed="false">
      <c r="A38" s="13" t="str">
        <f aca="false">"W"&amp;WEEKNUM(B38,21)</f>
        <v>W41</v>
      </c>
      <c r="B38" s="14" t="n">
        <v>46302</v>
      </c>
      <c r="C38" s="13"/>
      <c r="D38" s="13"/>
      <c r="E38" s="13"/>
      <c r="F38" s="13"/>
      <c r="G38" s="13" t="s">
        <v>68</v>
      </c>
      <c r="H38" s="13" t="s">
        <v>52</v>
      </c>
      <c r="I38" s="15" t="s">
        <v>53</v>
      </c>
      <c r="J38" s="13" t="s">
        <v>50</v>
      </c>
      <c r="K38" s="15" t="s">
        <v>70</v>
      </c>
      <c r="L38" s="15" t="s">
        <v>98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W41</v>
      </c>
      <c r="B39" s="14" t="n">
        <v>46302</v>
      </c>
      <c r="C39" s="13"/>
      <c r="D39" s="13"/>
      <c r="E39" s="13"/>
      <c r="F39" s="13"/>
      <c r="G39" s="13" t="s">
        <v>72</v>
      </c>
      <c r="H39" s="13" t="s">
        <v>52</v>
      </c>
      <c r="I39" s="15" t="s">
        <v>53</v>
      </c>
      <c r="J39" s="13" t="s">
        <v>50</v>
      </c>
      <c r="K39" s="15" t="s">
        <v>56</v>
      </c>
      <c r="L39" s="15" t="s">
        <v>85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3</v>
      </c>
      <c r="Q39" s="17" t="n">
        <f aca="false">P39*O39</f>
        <v>13.5</v>
      </c>
    </row>
    <row r="40" customFormat="false" ht="15" hidden="false" customHeight="false" outlineLevel="0" collapsed="false">
      <c r="A40" s="13" t="str">
        <f aca="false">"W"&amp;WEEKNUM(B40,21)</f>
        <v>W41</v>
      </c>
      <c r="B40" s="14" t="n">
        <v>46302</v>
      </c>
      <c r="C40" s="13"/>
      <c r="D40" s="13"/>
      <c r="E40" s="13"/>
      <c r="F40" s="13"/>
      <c r="G40" s="13" t="s">
        <v>72</v>
      </c>
      <c r="H40" s="13" t="s">
        <v>52</v>
      </c>
      <c r="I40" s="15" t="s">
        <v>53</v>
      </c>
      <c r="J40" s="13" t="s">
        <v>50</v>
      </c>
      <c r="K40" s="15" t="s">
        <v>60</v>
      </c>
      <c r="L40" s="15" t="s">
        <v>81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1</v>
      </c>
      <c r="Q40" s="17" t="n">
        <f aca="false">P40*O40</f>
        <v>4.5</v>
      </c>
    </row>
    <row r="41" customFormat="false" ht="15" hidden="false" customHeight="false" outlineLevel="0" collapsed="false">
      <c r="A41" s="13" t="str">
        <f aca="false">"W"&amp;WEEKNUM(B41,21)</f>
        <v>W41</v>
      </c>
      <c r="B41" s="14" t="n">
        <v>46302</v>
      </c>
      <c r="C41" s="13"/>
      <c r="D41" s="13"/>
      <c r="E41" s="13"/>
      <c r="F41" s="13"/>
      <c r="G41" s="13" t="s">
        <v>28</v>
      </c>
      <c r="H41" s="13" t="s">
        <v>52</v>
      </c>
      <c r="I41" s="15" t="s">
        <v>53</v>
      </c>
      <c r="J41" s="13" t="s">
        <v>50</v>
      </c>
      <c r="K41" s="15" t="s">
        <v>87</v>
      </c>
      <c r="L41" s="15" t="s">
        <v>99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6</v>
      </c>
      <c r="Q41" s="17" t="n">
        <f aca="false">P41*O41</f>
        <v>27</v>
      </c>
    </row>
    <row r="42" customFormat="false" ht="15" hidden="false" customHeight="false" outlineLevel="0" collapsed="false">
      <c r="A42" s="13" t="str">
        <f aca="false">"W"&amp;WEEKNUM(B42,21)</f>
        <v>W41</v>
      </c>
      <c r="B42" s="14" t="n">
        <v>46302</v>
      </c>
      <c r="C42" s="13"/>
      <c r="D42" s="13"/>
      <c r="E42" s="13"/>
      <c r="F42" s="13"/>
      <c r="G42" s="13" t="s">
        <v>28</v>
      </c>
      <c r="H42" s="13" t="s">
        <v>52</v>
      </c>
      <c r="I42" s="15" t="s">
        <v>53</v>
      </c>
      <c r="J42" s="13" t="s">
        <v>50</v>
      </c>
      <c r="K42" s="15" t="s">
        <v>100</v>
      </c>
      <c r="L42" s="15" t="s">
        <v>101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7</v>
      </c>
      <c r="Q42" s="17" t="n">
        <f aca="false">P42*O42</f>
        <v>31.5</v>
      </c>
    </row>
    <row r="43" customFormat="false" ht="15" hidden="false" customHeight="false" outlineLevel="0" collapsed="false">
      <c r="A43" s="13" t="str">
        <f aca="false">"W"&amp;WEEKNUM(B43,21)</f>
        <v>W41</v>
      </c>
      <c r="B43" s="14" t="n">
        <v>46302</v>
      </c>
      <c r="C43" s="13"/>
      <c r="D43" s="13"/>
      <c r="E43" s="13"/>
      <c r="F43" s="13"/>
      <c r="G43" s="13" t="s">
        <v>72</v>
      </c>
      <c r="H43" s="13" t="s">
        <v>52</v>
      </c>
      <c r="I43" s="15" t="s">
        <v>53</v>
      </c>
      <c r="J43" s="13" t="s">
        <v>50</v>
      </c>
      <c r="K43" s="15" t="s">
        <v>100</v>
      </c>
      <c r="L43" s="15" t="s">
        <v>101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4</v>
      </c>
      <c r="Q43" s="17" t="n">
        <f aca="false">P43*O43</f>
        <v>18</v>
      </c>
    </row>
    <row r="44" customFormat="false" ht="15" hidden="false" customHeight="false" outlineLevel="0" collapsed="false">
      <c r="A44" s="13" t="str">
        <f aca="false">"W"&amp;WEEKNUM(B44,21)</f>
        <v>W41</v>
      </c>
      <c r="B44" s="14" t="n">
        <v>46302</v>
      </c>
      <c r="C44" s="13"/>
      <c r="D44" s="13"/>
      <c r="E44" s="13"/>
      <c r="F44" s="13"/>
      <c r="G44" s="13" t="s">
        <v>25</v>
      </c>
      <c r="H44" s="13" t="s">
        <v>52</v>
      </c>
      <c r="I44" s="15" t="s">
        <v>53</v>
      </c>
      <c r="J44" s="13" t="s">
        <v>50</v>
      </c>
      <c r="K44" s="15" t="s">
        <v>100</v>
      </c>
      <c r="L44" s="15" t="s">
        <v>101</v>
      </c>
      <c r="M44" s="16" t="n">
        <v>0.3125</v>
      </c>
      <c r="N44" s="16" t="n">
        <v>0.5</v>
      </c>
      <c r="O44" s="17" t="n">
        <f aca="false">(N44-M44)*24</f>
        <v>4.5</v>
      </c>
      <c r="P44" s="13" t="n">
        <v>3</v>
      </c>
      <c r="Q44" s="17" t="n">
        <f aca="false">P44*O44</f>
        <v>13.5</v>
      </c>
    </row>
    <row r="45" customFormat="false" ht="15" hidden="false" customHeight="false" outlineLevel="0" collapsed="false">
      <c r="P45" s="18" t="s">
        <v>75</v>
      </c>
      <c r="Q45" s="19" t="n">
        <f aca="false">SUM(Q3:Q44)</f>
        <v>637.5</v>
      </c>
    </row>
    <row r="47" customFormat="false" ht="15" hidden="false" customHeight="false" outlineLevel="0" collapsed="false">
      <c r="A47" s="20" t="s">
        <v>76</v>
      </c>
    </row>
  </sheetData>
  <autoFilter ref="A2:Q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102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W41</v>
      </c>
      <c r="B3" s="4" t="n">
        <v>46303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W41</v>
      </c>
      <c r="B4" s="4" t="n">
        <v>46303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W41</v>
      </c>
      <c r="B5" s="4" t="n">
        <v>46303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W41</v>
      </c>
      <c r="B6" s="4" t="n">
        <v>46303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W41</v>
      </c>
      <c r="B7" s="4" t="n">
        <v>46303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W41</v>
      </c>
      <c r="B8" s="4" t="n">
        <v>46303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W41</v>
      </c>
      <c r="B9" s="4" t="n">
        <v>46303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W41</v>
      </c>
      <c r="B10" s="4" t="n">
        <v>46303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W41</v>
      </c>
      <c r="B11" s="4" t="n">
        <v>46303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W41</v>
      </c>
      <c r="B12" s="4" t="n">
        <v>46303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W41</v>
      </c>
      <c r="B13" s="4" t="n">
        <v>46303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W41</v>
      </c>
      <c r="B14" s="4" t="n">
        <v>46303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W41</v>
      </c>
      <c r="B15" s="4" t="n">
        <v>46303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W41</v>
      </c>
      <c r="B16" s="4" t="n">
        <v>46303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W41</v>
      </c>
      <c r="B17" s="4" t="n">
        <v>46303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W41</v>
      </c>
      <c r="B18" s="4" t="n">
        <v>46303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W41</v>
      </c>
      <c r="B19" s="4" t="n">
        <v>46303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W41</v>
      </c>
      <c r="B20" s="4" t="n">
        <v>46303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W41</v>
      </c>
      <c r="B21" s="4" t="n">
        <v>46303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W41</v>
      </c>
      <c r="B22" s="4" t="n">
        <v>46303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W41</v>
      </c>
      <c r="B23" s="9" t="n">
        <v>46303</v>
      </c>
      <c r="C23" s="8"/>
      <c r="D23" s="8"/>
      <c r="E23" s="8"/>
      <c r="F23" s="8"/>
      <c r="G23" s="8" t="s">
        <v>72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1</v>
      </c>
      <c r="Q23" s="12" t="n">
        <f aca="false">P23*O23</f>
        <v>8</v>
      </c>
    </row>
    <row r="24" customFormat="false" ht="15" hidden="false" customHeight="false" outlineLevel="0" collapsed="false">
      <c r="A24" s="8" t="str">
        <f aca="false">"W"&amp;WEEKNUM(B24,21)</f>
        <v>W41</v>
      </c>
      <c r="B24" s="9" t="n">
        <v>46303</v>
      </c>
      <c r="C24" s="8"/>
      <c r="D24" s="8"/>
      <c r="E24" s="8"/>
      <c r="F24" s="8"/>
      <c r="G24" s="8" t="s">
        <v>25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3</v>
      </c>
      <c r="Q24" s="12" t="n">
        <f aca="false">P24*O24</f>
        <v>24</v>
      </c>
    </row>
    <row r="25" customFormat="false" ht="15" hidden="false" customHeight="false" outlineLevel="0" collapsed="false">
      <c r="A25" s="13" t="str">
        <f aca="false">"W"&amp;WEEKNUM(B25,21)</f>
        <v>W41</v>
      </c>
      <c r="B25" s="14" t="n">
        <v>46303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54</v>
      </c>
      <c r="L25" s="15" t="s">
        <v>103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7</v>
      </c>
      <c r="Q25" s="17" t="n">
        <f aca="false">P25*O25</f>
        <v>31.5</v>
      </c>
    </row>
    <row r="26" customFormat="false" ht="15" hidden="false" customHeight="false" outlineLevel="0" collapsed="false">
      <c r="A26" s="13" t="str">
        <f aca="false">"W"&amp;WEEKNUM(B26,21)</f>
        <v>W41</v>
      </c>
      <c r="B26" s="14" t="n">
        <v>46303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58</v>
      </c>
      <c r="L26" s="15" t="s">
        <v>104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5</v>
      </c>
      <c r="Q26" s="17" t="n">
        <f aca="false">P26*O26</f>
        <v>22.5</v>
      </c>
    </row>
    <row r="27" customFormat="false" ht="15" hidden="false" customHeight="false" outlineLevel="0" collapsed="false">
      <c r="A27" s="13" t="str">
        <f aca="false">"W"&amp;WEEKNUM(B27,21)</f>
        <v>W41</v>
      </c>
      <c r="B27" s="14" t="n">
        <v>46303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60</v>
      </c>
      <c r="L27" s="15" t="s">
        <v>105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1</v>
      </c>
      <c r="Q27" s="17" t="n">
        <f aca="false">P27*O27</f>
        <v>4.5</v>
      </c>
    </row>
    <row r="28" customFormat="false" ht="15" hidden="false" customHeight="false" outlineLevel="0" collapsed="false">
      <c r="A28" s="13" t="str">
        <f aca="false">"W"&amp;WEEKNUM(B28,21)</f>
        <v>W41</v>
      </c>
      <c r="B28" s="14" t="n">
        <v>46303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62</v>
      </c>
      <c r="L28" s="15" t="s">
        <v>106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3</v>
      </c>
      <c r="Q28" s="17" t="n">
        <f aca="false">P28*O28</f>
        <v>13.5</v>
      </c>
    </row>
    <row r="29" customFormat="false" ht="15" hidden="false" customHeight="false" outlineLevel="0" collapsed="false">
      <c r="A29" s="13" t="str">
        <f aca="false">"W"&amp;WEEKNUM(B29,21)</f>
        <v>W41</v>
      </c>
      <c r="B29" s="14" t="n">
        <v>46303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64</v>
      </c>
      <c r="L29" s="15" t="s">
        <v>107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W41</v>
      </c>
      <c r="B30" s="14" t="n">
        <v>46303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66</v>
      </c>
      <c r="L30" s="15" t="s">
        <v>108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4</v>
      </c>
      <c r="Q30" s="17" t="n">
        <f aca="false">P30*O30</f>
        <v>18</v>
      </c>
    </row>
    <row r="31" customFormat="false" ht="15" hidden="false" customHeight="false" outlineLevel="0" collapsed="false">
      <c r="A31" s="13" t="str">
        <f aca="false">"W"&amp;WEEKNUM(B31,21)</f>
        <v>W41</v>
      </c>
      <c r="B31" s="14" t="n">
        <v>46303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58</v>
      </c>
      <c r="L31" s="15" t="s">
        <v>104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3</v>
      </c>
      <c r="Q31" s="17" t="n">
        <f aca="false">P31*O31</f>
        <v>13.5</v>
      </c>
    </row>
    <row r="32" customFormat="false" ht="15" hidden="false" customHeight="false" outlineLevel="0" collapsed="false">
      <c r="A32" s="13" t="str">
        <f aca="false">"W"&amp;WEEKNUM(B32,21)</f>
        <v>W41</v>
      </c>
      <c r="B32" s="14" t="n">
        <v>46303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60</v>
      </c>
      <c r="L32" s="15" t="s">
        <v>105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W41</v>
      </c>
      <c r="B33" s="14" t="n">
        <v>46303</v>
      </c>
      <c r="C33" s="13"/>
      <c r="D33" s="13"/>
      <c r="E33" s="13"/>
      <c r="F33" s="13"/>
      <c r="G33" s="13" t="s">
        <v>68</v>
      </c>
      <c r="H33" s="13" t="s">
        <v>52</v>
      </c>
      <c r="I33" s="15" t="s">
        <v>53</v>
      </c>
      <c r="J33" s="13" t="s">
        <v>50</v>
      </c>
      <c r="K33" s="15" t="s">
        <v>66</v>
      </c>
      <c r="L33" s="15" t="s">
        <v>108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1</v>
      </c>
      <c r="Q33" s="17" t="n">
        <f aca="false">P33*O33</f>
        <v>4.5</v>
      </c>
    </row>
    <row r="34" customFormat="false" ht="15" hidden="false" customHeight="false" outlineLevel="0" collapsed="false">
      <c r="A34" s="13" t="str">
        <f aca="false">"W"&amp;WEEKNUM(B34,21)</f>
        <v>W41</v>
      </c>
      <c r="B34" s="14" t="n">
        <v>46303</v>
      </c>
      <c r="C34" s="13"/>
      <c r="D34" s="13"/>
      <c r="E34" s="13"/>
      <c r="F34" s="13"/>
      <c r="G34" s="13" t="s">
        <v>68</v>
      </c>
      <c r="H34" s="13" t="s">
        <v>52</v>
      </c>
      <c r="I34" s="15" t="s">
        <v>53</v>
      </c>
      <c r="J34" s="13" t="s">
        <v>50</v>
      </c>
      <c r="K34" s="15" t="s">
        <v>56</v>
      </c>
      <c r="L34" s="15" t="s">
        <v>109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W41</v>
      </c>
      <c r="B35" s="14" t="n">
        <v>46303</v>
      </c>
      <c r="C35" s="13"/>
      <c r="D35" s="13"/>
      <c r="E35" s="13"/>
      <c r="F35" s="13"/>
      <c r="G35" s="13" t="s">
        <v>68</v>
      </c>
      <c r="H35" s="13" t="s">
        <v>52</v>
      </c>
      <c r="I35" s="15" t="s">
        <v>53</v>
      </c>
      <c r="J35" s="13" t="s">
        <v>50</v>
      </c>
      <c r="K35" s="15" t="s">
        <v>58</v>
      </c>
      <c r="L35" s="15" t="s">
        <v>104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2</v>
      </c>
      <c r="Q35" s="17" t="n">
        <f aca="false">P35*O35</f>
        <v>9</v>
      </c>
    </row>
    <row r="36" customFormat="false" ht="15" hidden="false" customHeight="false" outlineLevel="0" collapsed="false">
      <c r="A36" s="13" t="str">
        <f aca="false">"W"&amp;WEEKNUM(B36,21)</f>
        <v>W41</v>
      </c>
      <c r="B36" s="14" t="n">
        <v>46303</v>
      </c>
      <c r="C36" s="13"/>
      <c r="D36" s="13"/>
      <c r="E36" s="13"/>
      <c r="F36" s="13"/>
      <c r="G36" s="13" t="s">
        <v>68</v>
      </c>
      <c r="H36" s="13" t="s">
        <v>52</v>
      </c>
      <c r="I36" s="15" t="s">
        <v>53</v>
      </c>
      <c r="J36" s="13" t="s">
        <v>50</v>
      </c>
      <c r="K36" s="15" t="s">
        <v>70</v>
      </c>
      <c r="L36" s="15" t="s">
        <v>110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W41</v>
      </c>
      <c r="B37" s="14" t="n">
        <v>46303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56</v>
      </c>
      <c r="L37" s="15" t="s">
        <v>97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3</v>
      </c>
      <c r="Q37" s="17" t="n">
        <f aca="false">P37*O37</f>
        <v>13.5</v>
      </c>
    </row>
    <row r="38" customFormat="false" ht="15" hidden="false" customHeight="false" outlineLevel="0" collapsed="false">
      <c r="A38" s="13" t="str">
        <f aca="false">"W"&amp;WEEKNUM(B38,21)</f>
        <v>W41</v>
      </c>
      <c r="B38" s="14" t="n">
        <v>46303</v>
      </c>
      <c r="C38" s="13"/>
      <c r="D38" s="13"/>
      <c r="E38" s="13"/>
      <c r="F38" s="13"/>
      <c r="G38" s="13" t="s">
        <v>72</v>
      </c>
      <c r="H38" s="13" t="s">
        <v>52</v>
      </c>
      <c r="I38" s="15" t="s">
        <v>53</v>
      </c>
      <c r="J38" s="13" t="s">
        <v>50</v>
      </c>
      <c r="K38" s="15" t="s">
        <v>60</v>
      </c>
      <c r="L38" s="15" t="s">
        <v>93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W41</v>
      </c>
      <c r="B39" s="14" t="n">
        <v>46303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87</v>
      </c>
      <c r="L39" s="15" t="s">
        <v>111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6</v>
      </c>
      <c r="Q39" s="17" t="n">
        <f aca="false">P39*O39</f>
        <v>27</v>
      </c>
    </row>
    <row r="40" customFormat="false" ht="15" hidden="false" customHeight="false" outlineLevel="0" collapsed="false">
      <c r="A40" s="13" t="str">
        <f aca="false">"W"&amp;WEEKNUM(B40,21)</f>
        <v>W41</v>
      </c>
      <c r="B40" s="14" t="n">
        <v>46303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100</v>
      </c>
      <c r="L40" s="15" t="s">
        <v>112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7</v>
      </c>
      <c r="Q40" s="17" t="n">
        <f aca="false">P40*O40</f>
        <v>31.5</v>
      </c>
    </row>
    <row r="41" customFormat="false" ht="15" hidden="false" customHeight="false" outlineLevel="0" collapsed="false">
      <c r="A41" s="13" t="str">
        <f aca="false">"W"&amp;WEEKNUM(B41,21)</f>
        <v>W41</v>
      </c>
      <c r="B41" s="14" t="n">
        <v>46303</v>
      </c>
      <c r="C41" s="13"/>
      <c r="D41" s="13"/>
      <c r="E41" s="13"/>
      <c r="F41" s="13"/>
      <c r="G41" s="13" t="s">
        <v>72</v>
      </c>
      <c r="H41" s="13" t="s">
        <v>52</v>
      </c>
      <c r="I41" s="15" t="s">
        <v>53</v>
      </c>
      <c r="J41" s="13" t="s">
        <v>50</v>
      </c>
      <c r="K41" s="15" t="s">
        <v>100</v>
      </c>
      <c r="L41" s="15" t="s">
        <v>112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4</v>
      </c>
      <c r="Q41" s="17" t="n">
        <f aca="false">P41*O41</f>
        <v>18</v>
      </c>
    </row>
    <row r="42" customFormat="false" ht="15" hidden="false" customHeight="false" outlineLevel="0" collapsed="false">
      <c r="A42" s="13" t="str">
        <f aca="false">"W"&amp;WEEKNUM(B42,21)</f>
        <v>W41</v>
      </c>
      <c r="B42" s="14" t="n">
        <v>46303</v>
      </c>
      <c r="C42" s="13"/>
      <c r="D42" s="13"/>
      <c r="E42" s="13"/>
      <c r="F42" s="13"/>
      <c r="G42" s="13" t="s">
        <v>25</v>
      </c>
      <c r="H42" s="13" t="s">
        <v>52</v>
      </c>
      <c r="I42" s="15" t="s">
        <v>53</v>
      </c>
      <c r="J42" s="13" t="s">
        <v>50</v>
      </c>
      <c r="K42" s="15" t="s">
        <v>100</v>
      </c>
      <c r="L42" s="15" t="s">
        <v>112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3</v>
      </c>
      <c r="Q42" s="17" t="n">
        <f aca="false">P42*O42</f>
        <v>13.5</v>
      </c>
    </row>
    <row r="43" customFormat="false" ht="15" hidden="false" customHeight="false" outlineLevel="0" collapsed="false">
      <c r="A43" s="13" t="str">
        <f aca="false">"W"&amp;WEEKNUM(B43,21)</f>
        <v>W41</v>
      </c>
      <c r="B43" s="14" t="n">
        <v>46303</v>
      </c>
      <c r="C43" s="13"/>
      <c r="D43" s="13"/>
      <c r="E43" s="13"/>
      <c r="F43" s="13"/>
      <c r="G43" s="13" t="s">
        <v>28</v>
      </c>
      <c r="H43" s="13" t="s">
        <v>52</v>
      </c>
      <c r="I43" s="15" t="s">
        <v>53</v>
      </c>
      <c r="J43" s="13" t="s">
        <v>50</v>
      </c>
      <c r="K43" s="15" t="s">
        <v>113</v>
      </c>
      <c r="L43" s="15" t="s">
        <v>114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6</v>
      </c>
      <c r="Q43" s="17" t="n">
        <f aca="false">P43*O43</f>
        <v>27</v>
      </c>
    </row>
    <row r="44" customFormat="false" ht="15" hidden="false" customHeight="false" outlineLevel="0" collapsed="false">
      <c r="A44" s="13" t="str">
        <f aca="false">"W"&amp;WEEKNUM(B44,21)</f>
        <v>W41</v>
      </c>
      <c r="B44" s="14" t="n">
        <v>46303</v>
      </c>
      <c r="C44" s="13"/>
      <c r="D44" s="13"/>
      <c r="E44" s="13"/>
      <c r="F44" s="13"/>
      <c r="G44" s="13" t="s">
        <v>72</v>
      </c>
      <c r="H44" s="13" t="s">
        <v>52</v>
      </c>
      <c r="I44" s="15" t="s">
        <v>53</v>
      </c>
      <c r="J44" s="13" t="s">
        <v>50</v>
      </c>
      <c r="K44" s="15" t="s">
        <v>113</v>
      </c>
      <c r="L44" s="15" t="s">
        <v>114</v>
      </c>
      <c r="M44" s="16" t="n">
        <v>0.3125</v>
      </c>
      <c r="N44" s="16" t="n">
        <v>0.5</v>
      </c>
      <c r="O44" s="17" t="n">
        <f aca="false">(N44-M44)*24</f>
        <v>4.5</v>
      </c>
      <c r="P44" s="13" t="n">
        <v>2</v>
      </c>
      <c r="Q44" s="17" t="n">
        <f aca="false">P44*O44</f>
        <v>9</v>
      </c>
    </row>
    <row r="45" customFormat="false" ht="15" hidden="false" customHeight="false" outlineLevel="0" collapsed="false">
      <c r="P45" s="18" t="s">
        <v>75</v>
      </c>
      <c r="Q45" s="19" t="n">
        <f aca="false">SUM(Q3:Q44)</f>
        <v>587.5</v>
      </c>
    </row>
    <row r="47" customFormat="false" ht="15" hidden="false" customHeight="false" outlineLevel="0" collapsed="false">
      <c r="A47" s="20" t="s">
        <v>76</v>
      </c>
    </row>
  </sheetData>
  <autoFilter ref="A2:Q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115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W41</v>
      </c>
      <c r="B3" s="4" t="n">
        <v>46304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W41</v>
      </c>
      <c r="B4" s="4" t="n">
        <v>46304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W41</v>
      </c>
      <c r="B5" s="4" t="n">
        <v>46304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W41</v>
      </c>
      <c r="B6" s="4" t="n">
        <v>46304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W41</v>
      </c>
      <c r="B7" s="4" t="n">
        <v>46304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W41</v>
      </c>
      <c r="B8" s="4" t="n">
        <v>46304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W41</v>
      </c>
      <c r="B9" s="4" t="n">
        <v>46304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W41</v>
      </c>
      <c r="B10" s="4" t="n">
        <v>46304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W41</v>
      </c>
      <c r="B11" s="4" t="n">
        <v>46304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W41</v>
      </c>
      <c r="B12" s="4" t="n">
        <v>46304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W41</v>
      </c>
      <c r="B13" s="4" t="n">
        <v>46304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W41</v>
      </c>
      <c r="B14" s="4" t="n">
        <v>46304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W41</v>
      </c>
      <c r="B15" s="4" t="n">
        <v>46304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W41</v>
      </c>
      <c r="B16" s="4" t="n">
        <v>46304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W41</v>
      </c>
      <c r="B17" s="4" t="n">
        <v>46304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W41</v>
      </c>
      <c r="B18" s="4" t="n">
        <v>46304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W41</v>
      </c>
      <c r="B19" s="4" t="n">
        <v>46304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W41</v>
      </c>
      <c r="B20" s="4" t="n">
        <v>46304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W41</v>
      </c>
      <c r="B21" s="4" t="n">
        <v>46304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W41</v>
      </c>
      <c r="B22" s="4" t="n">
        <v>46304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13" t="str">
        <f aca="false">"W"&amp;WEEKNUM(B23,21)</f>
        <v>W41</v>
      </c>
      <c r="B23" s="14" t="n">
        <v>46304</v>
      </c>
      <c r="C23" s="13"/>
      <c r="D23" s="13"/>
      <c r="E23" s="13"/>
      <c r="F23" s="13"/>
      <c r="G23" s="13" t="s">
        <v>28</v>
      </c>
      <c r="H23" s="13" t="s">
        <v>52</v>
      </c>
      <c r="I23" s="15" t="s">
        <v>53</v>
      </c>
      <c r="J23" s="13" t="s">
        <v>50</v>
      </c>
      <c r="K23" s="15" t="s">
        <v>54</v>
      </c>
      <c r="L23" s="15" t="s">
        <v>116</v>
      </c>
      <c r="M23" s="16" t="n">
        <v>0.3125</v>
      </c>
      <c r="N23" s="16" t="n">
        <v>0.5</v>
      </c>
      <c r="O23" s="17" t="n">
        <f aca="false">(N23-M23)*24</f>
        <v>4.5</v>
      </c>
      <c r="P23" s="13" t="n">
        <v>7</v>
      </c>
      <c r="Q23" s="17" t="n">
        <f aca="false">P23*O23</f>
        <v>31.5</v>
      </c>
    </row>
    <row r="24" customFormat="false" ht="15" hidden="false" customHeight="false" outlineLevel="0" collapsed="false">
      <c r="A24" s="13" t="str">
        <f aca="false">"W"&amp;WEEKNUM(B24,21)</f>
        <v>W41</v>
      </c>
      <c r="B24" s="14" t="n">
        <v>46304</v>
      </c>
      <c r="C24" s="13"/>
      <c r="D24" s="13"/>
      <c r="E24" s="13"/>
      <c r="F24" s="13"/>
      <c r="G24" s="13" t="s">
        <v>28</v>
      </c>
      <c r="H24" s="13" t="s">
        <v>52</v>
      </c>
      <c r="I24" s="15" t="s">
        <v>53</v>
      </c>
      <c r="J24" s="13" t="s">
        <v>50</v>
      </c>
      <c r="K24" s="15" t="s">
        <v>58</v>
      </c>
      <c r="L24" s="15" t="s">
        <v>117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5</v>
      </c>
      <c r="Q24" s="17" t="n">
        <f aca="false">P24*O24</f>
        <v>22.5</v>
      </c>
    </row>
    <row r="25" customFormat="false" ht="15" hidden="false" customHeight="false" outlineLevel="0" collapsed="false">
      <c r="A25" s="13" t="str">
        <f aca="false">"W"&amp;WEEKNUM(B25,21)</f>
        <v>W41</v>
      </c>
      <c r="B25" s="14" t="n">
        <v>46304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60</v>
      </c>
      <c r="L25" s="15" t="s">
        <v>118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1</v>
      </c>
      <c r="Q25" s="17" t="n">
        <f aca="false">P25*O25</f>
        <v>4.5</v>
      </c>
    </row>
    <row r="26" customFormat="false" ht="15" hidden="false" customHeight="false" outlineLevel="0" collapsed="false">
      <c r="A26" s="13" t="str">
        <f aca="false">"W"&amp;WEEKNUM(B26,21)</f>
        <v>W41</v>
      </c>
      <c r="B26" s="14" t="n">
        <v>46304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62</v>
      </c>
      <c r="L26" s="15" t="s">
        <v>119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3</v>
      </c>
      <c r="Q26" s="17" t="n">
        <f aca="false">P26*O26</f>
        <v>13.5</v>
      </c>
    </row>
    <row r="27" customFormat="false" ht="15" hidden="false" customHeight="false" outlineLevel="0" collapsed="false">
      <c r="A27" s="13" t="str">
        <f aca="false">"W"&amp;WEEKNUM(B27,21)</f>
        <v>W41</v>
      </c>
      <c r="B27" s="14" t="n">
        <v>46304</v>
      </c>
      <c r="C27" s="13"/>
      <c r="D27" s="13"/>
      <c r="E27" s="13"/>
      <c r="F27" s="13"/>
      <c r="G27" s="13" t="s">
        <v>25</v>
      </c>
      <c r="H27" s="13" t="s">
        <v>52</v>
      </c>
      <c r="I27" s="15" t="s">
        <v>53</v>
      </c>
      <c r="J27" s="13" t="s">
        <v>50</v>
      </c>
      <c r="K27" s="15" t="s">
        <v>64</v>
      </c>
      <c r="L27" s="15" t="s">
        <v>120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2</v>
      </c>
      <c r="Q27" s="17" t="n">
        <f aca="false">P27*O27</f>
        <v>9</v>
      </c>
    </row>
    <row r="28" customFormat="false" ht="15" hidden="false" customHeight="false" outlineLevel="0" collapsed="false">
      <c r="A28" s="13" t="str">
        <f aca="false">"W"&amp;WEEKNUM(B28,21)</f>
        <v>W41</v>
      </c>
      <c r="B28" s="14" t="n">
        <v>46304</v>
      </c>
      <c r="C28" s="13"/>
      <c r="D28" s="13"/>
      <c r="E28" s="13"/>
      <c r="F28" s="13"/>
      <c r="G28" s="13" t="s">
        <v>25</v>
      </c>
      <c r="H28" s="13" t="s">
        <v>52</v>
      </c>
      <c r="I28" s="15" t="s">
        <v>53</v>
      </c>
      <c r="J28" s="13" t="s">
        <v>50</v>
      </c>
      <c r="K28" s="15" t="s">
        <v>66</v>
      </c>
      <c r="L28" s="15" t="s">
        <v>121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4</v>
      </c>
      <c r="Q28" s="17" t="n">
        <f aca="false">P28*O28</f>
        <v>18</v>
      </c>
    </row>
    <row r="29" customFormat="false" ht="15" hidden="false" customHeight="false" outlineLevel="0" collapsed="false">
      <c r="A29" s="13" t="str">
        <f aca="false">"W"&amp;WEEKNUM(B29,21)</f>
        <v>W41</v>
      </c>
      <c r="B29" s="14" t="n">
        <v>46304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58</v>
      </c>
      <c r="L29" s="15" t="s">
        <v>117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3</v>
      </c>
      <c r="Q29" s="17" t="n">
        <f aca="false">P29*O29</f>
        <v>13.5</v>
      </c>
    </row>
    <row r="30" customFormat="false" ht="15" hidden="false" customHeight="false" outlineLevel="0" collapsed="false">
      <c r="A30" s="13" t="str">
        <f aca="false">"W"&amp;WEEKNUM(B30,21)</f>
        <v>W41</v>
      </c>
      <c r="B30" s="14" t="n">
        <v>46304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60</v>
      </c>
      <c r="L30" s="15" t="s">
        <v>118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1</v>
      </c>
      <c r="Q30" s="17" t="n">
        <f aca="false">P30*O30</f>
        <v>4.5</v>
      </c>
    </row>
    <row r="31" customFormat="false" ht="15" hidden="false" customHeight="false" outlineLevel="0" collapsed="false">
      <c r="A31" s="13" t="str">
        <f aca="false">"W"&amp;WEEKNUM(B31,21)</f>
        <v>W41</v>
      </c>
      <c r="B31" s="14" t="n">
        <v>46304</v>
      </c>
      <c r="C31" s="13"/>
      <c r="D31" s="13"/>
      <c r="E31" s="13"/>
      <c r="F31" s="13"/>
      <c r="G31" s="13" t="s">
        <v>68</v>
      </c>
      <c r="H31" s="13" t="s">
        <v>52</v>
      </c>
      <c r="I31" s="15" t="s">
        <v>53</v>
      </c>
      <c r="J31" s="13" t="s">
        <v>50</v>
      </c>
      <c r="K31" s="15" t="s">
        <v>66</v>
      </c>
      <c r="L31" s="15" t="s">
        <v>121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1</v>
      </c>
      <c r="Q31" s="17" t="n">
        <f aca="false">P31*O31</f>
        <v>4.5</v>
      </c>
    </row>
    <row r="32" customFormat="false" ht="15" hidden="false" customHeight="false" outlineLevel="0" collapsed="false">
      <c r="A32" s="13" t="str">
        <f aca="false">"W"&amp;WEEKNUM(B32,21)</f>
        <v>W41</v>
      </c>
      <c r="B32" s="14" t="n">
        <v>46304</v>
      </c>
      <c r="C32" s="13"/>
      <c r="D32" s="13"/>
      <c r="E32" s="13"/>
      <c r="F32" s="13"/>
      <c r="G32" s="13" t="s">
        <v>68</v>
      </c>
      <c r="H32" s="13" t="s">
        <v>52</v>
      </c>
      <c r="I32" s="15" t="s">
        <v>53</v>
      </c>
      <c r="J32" s="13" t="s">
        <v>50</v>
      </c>
      <c r="K32" s="15" t="s">
        <v>56</v>
      </c>
      <c r="L32" s="15" t="s">
        <v>122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W41</v>
      </c>
      <c r="B33" s="14" t="n">
        <v>46304</v>
      </c>
      <c r="C33" s="13"/>
      <c r="D33" s="13"/>
      <c r="E33" s="13"/>
      <c r="F33" s="13"/>
      <c r="G33" s="13" t="s">
        <v>68</v>
      </c>
      <c r="H33" s="13" t="s">
        <v>52</v>
      </c>
      <c r="I33" s="15" t="s">
        <v>53</v>
      </c>
      <c r="J33" s="13" t="s">
        <v>50</v>
      </c>
      <c r="K33" s="15" t="s">
        <v>58</v>
      </c>
      <c r="L33" s="15" t="s">
        <v>117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2</v>
      </c>
      <c r="Q33" s="17" t="n">
        <f aca="false">P33*O33</f>
        <v>9</v>
      </c>
    </row>
    <row r="34" customFormat="false" ht="15" hidden="false" customHeight="false" outlineLevel="0" collapsed="false">
      <c r="A34" s="13" t="str">
        <f aca="false">"W"&amp;WEEKNUM(B34,21)</f>
        <v>W41</v>
      </c>
      <c r="B34" s="14" t="n">
        <v>46304</v>
      </c>
      <c r="C34" s="13"/>
      <c r="D34" s="13"/>
      <c r="E34" s="13"/>
      <c r="F34" s="13"/>
      <c r="G34" s="13" t="s">
        <v>68</v>
      </c>
      <c r="H34" s="13" t="s">
        <v>52</v>
      </c>
      <c r="I34" s="15" t="s">
        <v>53</v>
      </c>
      <c r="J34" s="13" t="s">
        <v>50</v>
      </c>
      <c r="K34" s="15" t="s">
        <v>70</v>
      </c>
      <c r="L34" s="15" t="s">
        <v>123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W41</v>
      </c>
      <c r="B35" s="14" t="n">
        <v>46304</v>
      </c>
      <c r="C35" s="13"/>
      <c r="D35" s="13"/>
      <c r="E35" s="13"/>
      <c r="F35" s="13"/>
      <c r="G35" s="13" t="s">
        <v>72</v>
      </c>
      <c r="H35" s="13" t="s">
        <v>52</v>
      </c>
      <c r="I35" s="15" t="s">
        <v>53</v>
      </c>
      <c r="J35" s="13" t="s">
        <v>50</v>
      </c>
      <c r="K35" s="15" t="s">
        <v>56</v>
      </c>
      <c r="L35" s="15" t="s">
        <v>109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3</v>
      </c>
      <c r="Q35" s="17" t="n">
        <f aca="false">P35*O35</f>
        <v>13.5</v>
      </c>
    </row>
    <row r="36" customFormat="false" ht="15" hidden="false" customHeight="false" outlineLevel="0" collapsed="false">
      <c r="A36" s="13" t="str">
        <f aca="false">"W"&amp;WEEKNUM(B36,21)</f>
        <v>W41</v>
      </c>
      <c r="B36" s="14" t="n">
        <v>46304</v>
      </c>
      <c r="C36" s="13"/>
      <c r="D36" s="13"/>
      <c r="E36" s="13"/>
      <c r="F36" s="13"/>
      <c r="G36" s="13" t="s">
        <v>72</v>
      </c>
      <c r="H36" s="13" t="s">
        <v>52</v>
      </c>
      <c r="I36" s="15" t="s">
        <v>53</v>
      </c>
      <c r="J36" s="13" t="s">
        <v>50</v>
      </c>
      <c r="K36" s="15" t="s">
        <v>60</v>
      </c>
      <c r="L36" s="15" t="s">
        <v>105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W41</v>
      </c>
      <c r="B37" s="14" t="n">
        <v>46304</v>
      </c>
      <c r="C37" s="13"/>
      <c r="D37" s="13"/>
      <c r="E37" s="13"/>
      <c r="F37" s="13"/>
      <c r="G37" s="13" t="s">
        <v>28</v>
      </c>
      <c r="H37" s="13" t="s">
        <v>52</v>
      </c>
      <c r="I37" s="15" t="s">
        <v>53</v>
      </c>
      <c r="J37" s="13" t="s">
        <v>50</v>
      </c>
      <c r="K37" s="15" t="s">
        <v>87</v>
      </c>
      <c r="L37" s="15" t="s">
        <v>124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6</v>
      </c>
      <c r="Q37" s="17" t="n">
        <f aca="false">P37*O37</f>
        <v>27</v>
      </c>
    </row>
    <row r="38" customFormat="false" ht="15" hidden="false" customHeight="false" outlineLevel="0" collapsed="false">
      <c r="A38" s="13" t="str">
        <f aca="false">"W"&amp;WEEKNUM(B38,21)</f>
        <v>W41</v>
      </c>
      <c r="B38" s="14" t="n">
        <v>46304</v>
      </c>
      <c r="C38" s="13"/>
      <c r="D38" s="13"/>
      <c r="E38" s="13"/>
      <c r="F38" s="13"/>
      <c r="G38" s="13" t="s">
        <v>28</v>
      </c>
      <c r="H38" s="13" t="s">
        <v>52</v>
      </c>
      <c r="I38" s="15" t="s">
        <v>53</v>
      </c>
      <c r="J38" s="13" t="s">
        <v>50</v>
      </c>
      <c r="K38" s="15" t="s">
        <v>100</v>
      </c>
      <c r="L38" s="15" t="s">
        <v>125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7</v>
      </c>
      <c r="Q38" s="17" t="n">
        <f aca="false">P38*O38</f>
        <v>31.5</v>
      </c>
    </row>
    <row r="39" customFormat="false" ht="15" hidden="false" customHeight="false" outlineLevel="0" collapsed="false">
      <c r="A39" s="13" t="str">
        <f aca="false">"W"&amp;WEEKNUM(B39,21)</f>
        <v>W41</v>
      </c>
      <c r="B39" s="14" t="n">
        <v>46304</v>
      </c>
      <c r="C39" s="13"/>
      <c r="D39" s="13"/>
      <c r="E39" s="13"/>
      <c r="F39" s="13"/>
      <c r="G39" s="13" t="s">
        <v>72</v>
      </c>
      <c r="H39" s="13" t="s">
        <v>52</v>
      </c>
      <c r="I39" s="15" t="s">
        <v>53</v>
      </c>
      <c r="J39" s="13" t="s">
        <v>50</v>
      </c>
      <c r="K39" s="15" t="s">
        <v>100</v>
      </c>
      <c r="L39" s="15" t="s">
        <v>125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4</v>
      </c>
      <c r="Q39" s="17" t="n">
        <f aca="false">P39*O39</f>
        <v>18</v>
      </c>
    </row>
    <row r="40" customFormat="false" ht="15" hidden="false" customHeight="false" outlineLevel="0" collapsed="false">
      <c r="A40" s="13" t="str">
        <f aca="false">"W"&amp;WEEKNUM(B40,21)</f>
        <v>W41</v>
      </c>
      <c r="B40" s="14" t="n">
        <v>46304</v>
      </c>
      <c r="C40" s="13"/>
      <c r="D40" s="13"/>
      <c r="E40" s="13"/>
      <c r="F40" s="13"/>
      <c r="G40" s="13" t="s">
        <v>25</v>
      </c>
      <c r="H40" s="13" t="s">
        <v>52</v>
      </c>
      <c r="I40" s="15" t="s">
        <v>53</v>
      </c>
      <c r="J40" s="13" t="s">
        <v>50</v>
      </c>
      <c r="K40" s="15" t="s">
        <v>100</v>
      </c>
      <c r="L40" s="15" t="s">
        <v>125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3</v>
      </c>
      <c r="Q40" s="17" t="n">
        <f aca="false">P40*O40</f>
        <v>13.5</v>
      </c>
    </row>
    <row r="41" customFormat="false" ht="15" hidden="false" customHeight="false" outlineLevel="0" collapsed="false">
      <c r="A41" s="13" t="str">
        <f aca="false">"W"&amp;WEEKNUM(B41,21)</f>
        <v>W41</v>
      </c>
      <c r="B41" s="14" t="n">
        <v>46304</v>
      </c>
      <c r="C41" s="13"/>
      <c r="D41" s="13"/>
      <c r="E41" s="13"/>
      <c r="F41" s="13"/>
      <c r="G41" s="13" t="s">
        <v>28</v>
      </c>
      <c r="H41" s="13" t="s">
        <v>52</v>
      </c>
      <c r="I41" s="15" t="s">
        <v>53</v>
      </c>
      <c r="J41" s="13" t="s">
        <v>50</v>
      </c>
      <c r="K41" s="15" t="s">
        <v>113</v>
      </c>
      <c r="L41" s="15" t="s">
        <v>126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6</v>
      </c>
      <c r="Q41" s="17" t="n">
        <f aca="false">P41*O41</f>
        <v>27</v>
      </c>
    </row>
    <row r="42" customFormat="false" ht="15" hidden="false" customHeight="false" outlineLevel="0" collapsed="false">
      <c r="A42" s="13" t="str">
        <f aca="false">"W"&amp;WEEKNUM(B42,21)</f>
        <v>W41</v>
      </c>
      <c r="B42" s="14" t="n">
        <v>46304</v>
      </c>
      <c r="C42" s="13"/>
      <c r="D42" s="13"/>
      <c r="E42" s="13"/>
      <c r="F42" s="13"/>
      <c r="G42" s="13" t="s">
        <v>72</v>
      </c>
      <c r="H42" s="13" t="s">
        <v>52</v>
      </c>
      <c r="I42" s="15" t="s">
        <v>53</v>
      </c>
      <c r="J42" s="13" t="s">
        <v>50</v>
      </c>
      <c r="K42" s="15" t="s">
        <v>113</v>
      </c>
      <c r="L42" s="15" t="s">
        <v>126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2</v>
      </c>
      <c r="Q42" s="17" t="n">
        <f aca="false">P42*O42</f>
        <v>9</v>
      </c>
    </row>
    <row r="43" customFormat="false" ht="15" hidden="false" customHeight="false" outlineLevel="0" collapsed="false">
      <c r="A43" s="13" t="str">
        <f aca="false">"W"&amp;WEEKNUM(B43,21)</f>
        <v>W41</v>
      </c>
      <c r="B43" s="14" t="n">
        <v>46304</v>
      </c>
      <c r="C43" s="13"/>
      <c r="D43" s="13"/>
      <c r="E43" s="13"/>
      <c r="F43" s="13"/>
      <c r="G43" s="13" t="s">
        <v>72</v>
      </c>
      <c r="H43" s="13" t="s">
        <v>52</v>
      </c>
      <c r="I43" s="15" t="s">
        <v>53</v>
      </c>
      <c r="J43" s="13" t="s">
        <v>50</v>
      </c>
      <c r="K43" s="15" t="s">
        <v>127</v>
      </c>
      <c r="L43" s="15" t="s">
        <v>128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1</v>
      </c>
      <c r="Q43" s="17" t="n">
        <f aca="false">P43*O43</f>
        <v>4.5</v>
      </c>
    </row>
    <row r="44" customFormat="false" ht="15" hidden="false" customHeight="false" outlineLevel="0" collapsed="false">
      <c r="A44" s="13" t="str">
        <f aca="false">"W"&amp;WEEKNUM(B44,21)</f>
        <v>W41</v>
      </c>
      <c r="B44" s="14" t="n">
        <v>46304</v>
      </c>
      <c r="C44" s="13"/>
      <c r="D44" s="13"/>
      <c r="E44" s="13"/>
      <c r="F44" s="13"/>
      <c r="G44" s="13" t="s">
        <v>25</v>
      </c>
      <c r="H44" s="13" t="s">
        <v>52</v>
      </c>
      <c r="I44" s="15" t="s">
        <v>53</v>
      </c>
      <c r="J44" s="13" t="s">
        <v>50</v>
      </c>
      <c r="K44" s="15" t="s">
        <v>127</v>
      </c>
      <c r="L44" s="15" t="s">
        <v>128</v>
      </c>
      <c r="M44" s="16" t="n">
        <v>0.3125</v>
      </c>
      <c r="N44" s="16" t="n">
        <v>0.5</v>
      </c>
      <c r="O44" s="17" t="n">
        <f aca="false">(N44-M44)*24</f>
        <v>4.5</v>
      </c>
      <c r="P44" s="13" t="n">
        <v>3</v>
      </c>
      <c r="Q44" s="17" t="n">
        <f aca="false">P44*O44</f>
        <v>13.5</v>
      </c>
    </row>
    <row r="45" customFormat="false" ht="15" hidden="false" customHeight="false" outlineLevel="0" collapsed="false">
      <c r="P45" s="18" t="s">
        <v>75</v>
      </c>
      <c r="Q45" s="19" t="n">
        <f aca="false">SUM(Q3:Q44)</f>
        <v>573.5</v>
      </c>
    </row>
    <row r="47" customFormat="false" ht="15" hidden="false" customHeight="false" outlineLevel="0" collapsed="false">
      <c r="A47" s="20" t="s">
        <v>76</v>
      </c>
    </row>
  </sheetData>
  <autoFilter ref="A2:Q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129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W41</v>
      </c>
      <c r="B3" s="4" t="n">
        <v>46305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W41</v>
      </c>
      <c r="B4" s="4" t="n">
        <v>46305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W41</v>
      </c>
      <c r="B5" s="4" t="n">
        <v>46305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W41</v>
      </c>
      <c r="B6" s="4" t="n">
        <v>46305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W41</v>
      </c>
      <c r="B7" s="4" t="n">
        <v>46305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0.645833333333333</v>
      </c>
      <c r="O7" s="7" t="n">
        <f aca="false">(N7-M7)*24</f>
        <v>8</v>
      </c>
      <c r="P7" s="3" t="n">
        <v>2</v>
      </c>
      <c r="Q7" s="7" t="n">
        <f aca="false">P7*O7</f>
        <v>16</v>
      </c>
    </row>
    <row r="8" customFormat="false" ht="15" hidden="false" customHeight="false" outlineLevel="0" collapsed="false">
      <c r="A8" s="3" t="str">
        <f aca="false">"W"&amp;WEEKNUM(B8,21)</f>
        <v>W41</v>
      </c>
      <c r="B8" s="4" t="n">
        <v>46305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0.645833333333333</v>
      </c>
      <c r="O8" s="7" t="n">
        <f aca="false">(N8-M8)*24</f>
        <v>8</v>
      </c>
      <c r="P8" s="3" t="n">
        <v>4</v>
      </c>
      <c r="Q8" s="7" t="n">
        <f aca="false">P8*O8</f>
        <v>32</v>
      </c>
    </row>
    <row r="9" customFormat="false" ht="15" hidden="false" customHeight="false" outlineLevel="0" collapsed="false">
      <c r="A9" s="3" t="str">
        <f aca="false">"W"&amp;WEEKNUM(B9,21)</f>
        <v>W41</v>
      </c>
      <c r="B9" s="4" t="n">
        <v>46305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0.645833333333333</v>
      </c>
      <c r="O9" s="7" t="n">
        <f aca="false">(N9-M9)*24</f>
        <v>8</v>
      </c>
      <c r="P9" s="3" t="n">
        <v>1</v>
      </c>
      <c r="Q9" s="7" t="n">
        <f aca="false">P9*O9</f>
        <v>8</v>
      </c>
    </row>
    <row r="10" customFormat="false" ht="15" hidden="false" customHeight="false" outlineLevel="0" collapsed="false">
      <c r="A10" s="3" t="str">
        <f aca="false">"W"&amp;WEEKNUM(B10,21)</f>
        <v>W41</v>
      </c>
      <c r="B10" s="4" t="n">
        <v>46305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0.645833333333333</v>
      </c>
      <c r="O10" s="7" t="n">
        <f aca="false">(N10-M10)*24</f>
        <v>8</v>
      </c>
      <c r="P10" s="3" t="n">
        <v>1</v>
      </c>
      <c r="Q10" s="7" t="n">
        <f aca="false">P10*O10</f>
        <v>8</v>
      </c>
    </row>
    <row r="11" customFormat="false" ht="15" hidden="false" customHeight="false" outlineLevel="0" collapsed="false">
      <c r="A11" s="3" t="str">
        <f aca="false">"W"&amp;WEEKNUM(B11,21)</f>
        <v>W41</v>
      </c>
      <c r="B11" s="4" t="n">
        <v>46305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0.645833333333333</v>
      </c>
      <c r="O11" s="7" t="n">
        <f aca="false">(N11-M11)*24</f>
        <v>8</v>
      </c>
      <c r="P11" s="3" t="n">
        <v>1</v>
      </c>
      <c r="Q11" s="7" t="n">
        <f aca="false">P11*O11</f>
        <v>8</v>
      </c>
    </row>
    <row r="12" customFormat="false" ht="15" hidden="false" customHeight="false" outlineLevel="0" collapsed="false">
      <c r="A12" s="3" t="str">
        <f aca="false">"W"&amp;WEEKNUM(B12,21)</f>
        <v>W41</v>
      </c>
      <c r="B12" s="4" t="n">
        <v>46305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0.645833333333333</v>
      </c>
      <c r="O12" s="7" t="n">
        <f aca="false">(N12-M12)*24</f>
        <v>8</v>
      </c>
      <c r="P12" s="3" t="n">
        <v>1</v>
      </c>
      <c r="Q12" s="7" t="n">
        <f aca="false">P12*O12</f>
        <v>8</v>
      </c>
    </row>
    <row r="13" customFormat="false" ht="15" hidden="false" customHeight="false" outlineLevel="0" collapsed="false">
      <c r="A13" s="3" t="str">
        <f aca="false">"W"&amp;WEEKNUM(B13,21)</f>
        <v>W41</v>
      </c>
      <c r="B13" s="4" t="n">
        <v>46305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0.645833333333333</v>
      </c>
      <c r="O13" s="7" t="n">
        <f aca="false">(N13-M13)*24</f>
        <v>8</v>
      </c>
      <c r="P13" s="3" t="n">
        <v>1</v>
      </c>
      <c r="Q13" s="7" t="n">
        <f aca="false">P13*O13</f>
        <v>8</v>
      </c>
    </row>
    <row r="14" customFormat="false" ht="15" hidden="false" customHeight="false" outlineLevel="0" collapsed="false">
      <c r="A14" s="3" t="str">
        <f aca="false">"W"&amp;WEEKNUM(B14,21)</f>
        <v>W41</v>
      </c>
      <c r="B14" s="4" t="n">
        <v>46305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0.645833333333333</v>
      </c>
      <c r="O14" s="7" t="n">
        <f aca="false">(N14-M14)*24</f>
        <v>8</v>
      </c>
      <c r="P14" s="3" t="n">
        <v>1</v>
      </c>
      <c r="Q14" s="7" t="n">
        <f aca="false">P14*O14</f>
        <v>8</v>
      </c>
    </row>
    <row r="15" customFormat="false" ht="15" hidden="false" customHeight="false" outlineLevel="0" collapsed="false">
      <c r="A15" s="3" t="str">
        <f aca="false">"W"&amp;WEEKNUM(B15,21)</f>
        <v>W41</v>
      </c>
      <c r="B15" s="4" t="n">
        <v>46305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0.645833333333333</v>
      </c>
      <c r="O15" s="7" t="n">
        <f aca="false">(N15-M15)*24</f>
        <v>8</v>
      </c>
      <c r="P15" s="3" t="n">
        <v>1</v>
      </c>
      <c r="Q15" s="7" t="n">
        <f aca="false">P15*O15</f>
        <v>8</v>
      </c>
    </row>
    <row r="16" customFormat="false" ht="15" hidden="false" customHeight="false" outlineLevel="0" collapsed="false">
      <c r="A16" s="3" t="str">
        <f aca="false">"W"&amp;WEEKNUM(B16,21)</f>
        <v>W41</v>
      </c>
      <c r="B16" s="4" t="n">
        <v>46305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0.645833333333333</v>
      </c>
      <c r="O16" s="7" t="n">
        <f aca="false">(N16-M16)*24</f>
        <v>8</v>
      </c>
      <c r="P16" s="3" t="n">
        <v>1</v>
      </c>
      <c r="Q16" s="7" t="n">
        <f aca="false">P16*O16</f>
        <v>8</v>
      </c>
    </row>
    <row r="17" customFormat="false" ht="15" hidden="false" customHeight="false" outlineLevel="0" collapsed="false">
      <c r="A17" s="3" t="str">
        <f aca="false">"W"&amp;WEEKNUM(B17,21)</f>
        <v>W41</v>
      </c>
      <c r="B17" s="4" t="n">
        <v>46305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0.645833333333333</v>
      </c>
      <c r="O17" s="7" t="n">
        <f aca="false">(N17-M17)*24</f>
        <v>8</v>
      </c>
      <c r="P17" s="3" t="n">
        <v>1</v>
      </c>
      <c r="Q17" s="7" t="n">
        <f aca="false">P17*O17</f>
        <v>8</v>
      </c>
    </row>
    <row r="18" customFormat="false" ht="15" hidden="false" customHeight="false" outlineLevel="0" collapsed="false">
      <c r="A18" s="3" t="str">
        <f aca="false">"W"&amp;WEEKNUM(B18,21)</f>
        <v>W41</v>
      </c>
      <c r="B18" s="4" t="n">
        <v>46305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0.645833333333333</v>
      </c>
      <c r="O18" s="7" t="n">
        <f aca="false">(N18-M18)*24</f>
        <v>8</v>
      </c>
      <c r="P18" s="3" t="n">
        <v>1</v>
      </c>
      <c r="Q18" s="7" t="n">
        <f aca="false">P18*O18</f>
        <v>8</v>
      </c>
    </row>
    <row r="19" customFormat="false" ht="15" hidden="false" customHeight="false" outlineLevel="0" collapsed="false">
      <c r="A19" s="3" t="str">
        <f aca="false">"W"&amp;WEEKNUM(B19,21)</f>
        <v>W41</v>
      </c>
      <c r="B19" s="4" t="n">
        <v>46305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0.645833333333333</v>
      </c>
      <c r="O19" s="7" t="n">
        <f aca="false">(N19-M19)*24</f>
        <v>8</v>
      </c>
      <c r="P19" s="3" t="n">
        <v>1</v>
      </c>
      <c r="Q19" s="7" t="n">
        <f aca="false">P19*O19</f>
        <v>8</v>
      </c>
    </row>
    <row r="20" customFormat="false" ht="15" hidden="false" customHeight="false" outlineLevel="0" collapsed="false">
      <c r="A20" s="3" t="str">
        <f aca="false">"W"&amp;WEEKNUM(B20,21)</f>
        <v>W41</v>
      </c>
      <c r="B20" s="4" t="n">
        <v>46305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0.645833333333333</v>
      </c>
      <c r="O20" s="7" t="n">
        <f aca="false">(N20-M20)*24</f>
        <v>8</v>
      </c>
      <c r="P20" s="3" t="n">
        <v>1</v>
      </c>
      <c r="Q20" s="7" t="n">
        <f aca="false">P20*O20</f>
        <v>8</v>
      </c>
    </row>
    <row r="21" customFormat="false" ht="15" hidden="false" customHeight="false" outlineLevel="0" collapsed="false">
      <c r="A21" s="3" t="str">
        <f aca="false">"W"&amp;WEEKNUM(B21,21)</f>
        <v>W41</v>
      </c>
      <c r="B21" s="4" t="n">
        <v>46305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0.645833333333333</v>
      </c>
      <c r="O21" s="7" t="n">
        <f aca="false">(N21-M21)*24</f>
        <v>8</v>
      </c>
      <c r="P21" s="3" t="n">
        <v>1</v>
      </c>
      <c r="Q21" s="7" t="n">
        <f aca="false">P21*O21</f>
        <v>8</v>
      </c>
    </row>
    <row r="22" customFormat="false" ht="15" hidden="false" customHeight="false" outlineLevel="0" collapsed="false">
      <c r="A22" s="3" t="str">
        <f aca="false">"W"&amp;WEEKNUM(B22,21)</f>
        <v>W41</v>
      </c>
      <c r="B22" s="4" t="n">
        <v>46305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0.645833333333333</v>
      </c>
      <c r="O22" s="7" t="n">
        <f aca="false">(N22-M22)*24</f>
        <v>8</v>
      </c>
      <c r="P22" s="3" t="n">
        <v>1</v>
      </c>
      <c r="Q22" s="7" t="n">
        <f aca="false">P22*O22</f>
        <v>8</v>
      </c>
    </row>
    <row r="23" customFormat="false" ht="15" hidden="false" customHeight="false" outlineLevel="0" collapsed="false">
      <c r="A23" s="13" t="str">
        <f aca="false">"W"&amp;WEEKNUM(B23,21)</f>
        <v>W41</v>
      </c>
      <c r="B23" s="14" t="n">
        <v>46305</v>
      </c>
      <c r="C23" s="13"/>
      <c r="D23" s="13"/>
      <c r="E23" s="13"/>
      <c r="F23" s="13"/>
      <c r="G23" s="13" t="s">
        <v>28</v>
      </c>
      <c r="H23" s="13" t="s">
        <v>52</v>
      </c>
      <c r="I23" s="15" t="s">
        <v>53</v>
      </c>
      <c r="J23" s="13" t="s">
        <v>50</v>
      </c>
      <c r="K23" s="15" t="s">
        <v>54</v>
      </c>
      <c r="L23" s="15" t="s">
        <v>130</v>
      </c>
      <c r="M23" s="16" t="n">
        <v>0.3125</v>
      </c>
      <c r="N23" s="16" t="n">
        <v>0.5</v>
      </c>
      <c r="O23" s="17" t="n">
        <f aca="false">(N23-M23)*24</f>
        <v>4.5</v>
      </c>
      <c r="P23" s="13" t="n">
        <v>7</v>
      </c>
      <c r="Q23" s="17" t="n">
        <f aca="false">P23*O23</f>
        <v>31.5</v>
      </c>
    </row>
    <row r="24" customFormat="false" ht="15" hidden="false" customHeight="false" outlineLevel="0" collapsed="false">
      <c r="A24" s="13" t="str">
        <f aca="false">"W"&amp;WEEKNUM(B24,21)</f>
        <v>W41</v>
      </c>
      <c r="B24" s="14" t="n">
        <v>46305</v>
      </c>
      <c r="C24" s="13"/>
      <c r="D24" s="13"/>
      <c r="E24" s="13"/>
      <c r="F24" s="13"/>
      <c r="G24" s="13" t="s">
        <v>28</v>
      </c>
      <c r="H24" s="13" t="s">
        <v>52</v>
      </c>
      <c r="I24" s="15" t="s">
        <v>53</v>
      </c>
      <c r="J24" s="13" t="s">
        <v>50</v>
      </c>
      <c r="K24" s="15" t="s">
        <v>58</v>
      </c>
      <c r="L24" s="15" t="s">
        <v>131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5</v>
      </c>
      <c r="Q24" s="17" t="n">
        <f aca="false">P24*O24</f>
        <v>22.5</v>
      </c>
    </row>
    <row r="25" customFormat="false" ht="15" hidden="false" customHeight="false" outlineLevel="0" collapsed="false">
      <c r="A25" s="13" t="str">
        <f aca="false">"W"&amp;WEEKNUM(B25,21)</f>
        <v>W41</v>
      </c>
      <c r="B25" s="14" t="n">
        <v>46305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60</v>
      </c>
      <c r="L25" s="15" t="s">
        <v>132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1</v>
      </c>
      <c r="Q25" s="17" t="n">
        <f aca="false">P25*O25</f>
        <v>4.5</v>
      </c>
    </row>
    <row r="26" customFormat="false" ht="15" hidden="false" customHeight="false" outlineLevel="0" collapsed="false">
      <c r="A26" s="13" t="str">
        <f aca="false">"W"&amp;WEEKNUM(B26,21)</f>
        <v>W41</v>
      </c>
      <c r="B26" s="14" t="n">
        <v>46305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62</v>
      </c>
      <c r="L26" s="15" t="s">
        <v>133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3</v>
      </c>
      <c r="Q26" s="17" t="n">
        <f aca="false">P26*O26</f>
        <v>13.5</v>
      </c>
    </row>
    <row r="27" customFormat="false" ht="15" hidden="false" customHeight="false" outlineLevel="0" collapsed="false">
      <c r="A27" s="13" t="str">
        <f aca="false">"W"&amp;WEEKNUM(B27,21)</f>
        <v>W41</v>
      </c>
      <c r="B27" s="14" t="n">
        <v>46305</v>
      </c>
      <c r="C27" s="13"/>
      <c r="D27" s="13"/>
      <c r="E27" s="13"/>
      <c r="F27" s="13"/>
      <c r="G27" s="13" t="s">
        <v>25</v>
      </c>
      <c r="H27" s="13" t="s">
        <v>52</v>
      </c>
      <c r="I27" s="15" t="s">
        <v>53</v>
      </c>
      <c r="J27" s="13" t="s">
        <v>50</v>
      </c>
      <c r="K27" s="15" t="s">
        <v>64</v>
      </c>
      <c r="L27" s="15" t="s">
        <v>134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2</v>
      </c>
      <c r="Q27" s="17" t="n">
        <f aca="false">P27*O27</f>
        <v>9</v>
      </c>
    </row>
    <row r="28" customFormat="false" ht="15" hidden="false" customHeight="false" outlineLevel="0" collapsed="false">
      <c r="A28" s="13" t="str">
        <f aca="false">"W"&amp;WEEKNUM(B28,21)</f>
        <v>W41</v>
      </c>
      <c r="B28" s="14" t="n">
        <v>46305</v>
      </c>
      <c r="C28" s="13"/>
      <c r="D28" s="13"/>
      <c r="E28" s="13"/>
      <c r="F28" s="13"/>
      <c r="G28" s="13" t="s">
        <v>25</v>
      </c>
      <c r="H28" s="13" t="s">
        <v>52</v>
      </c>
      <c r="I28" s="15" t="s">
        <v>53</v>
      </c>
      <c r="J28" s="13" t="s">
        <v>50</v>
      </c>
      <c r="K28" s="15" t="s">
        <v>66</v>
      </c>
      <c r="L28" s="15" t="s">
        <v>135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4</v>
      </c>
      <c r="Q28" s="17" t="n">
        <f aca="false">P28*O28</f>
        <v>18</v>
      </c>
    </row>
    <row r="29" customFormat="false" ht="15" hidden="false" customHeight="false" outlineLevel="0" collapsed="false">
      <c r="A29" s="13" t="str">
        <f aca="false">"W"&amp;WEEKNUM(B29,21)</f>
        <v>W41</v>
      </c>
      <c r="B29" s="14" t="n">
        <v>46305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58</v>
      </c>
      <c r="L29" s="15" t="s">
        <v>131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3</v>
      </c>
      <c r="Q29" s="17" t="n">
        <f aca="false">P29*O29</f>
        <v>13.5</v>
      </c>
    </row>
    <row r="30" customFormat="false" ht="15" hidden="false" customHeight="false" outlineLevel="0" collapsed="false">
      <c r="A30" s="13" t="str">
        <f aca="false">"W"&amp;WEEKNUM(B30,21)</f>
        <v>W41</v>
      </c>
      <c r="B30" s="14" t="n">
        <v>46305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60</v>
      </c>
      <c r="L30" s="15" t="s">
        <v>132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1</v>
      </c>
      <c r="Q30" s="17" t="n">
        <f aca="false">P30*O30</f>
        <v>4.5</v>
      </c>
    </row>
    <row r="31" customFormat="false" ht="15" hidden="false" customHeight="false" outlineLevel="0" collapsed="false">
      <c r="A31" s="13" t="str">
        <f aca="false">"W"&amp;WEEKNUM(B31,21)</f>
        <v>W41</v>
      </c>
      <c r="B31" s="14" t="n">
        <v>46305</v>
      </c>
      <c r="C31" s="13"/>
      <c r="D31" s="13"/>
      <c r="E31" s="13"/>
      <c r="F31" s="13"/>
      <c r="G31" s="13" t="s">
        <v>68</v>
      </c>
      <c r="H31" s="13" t="s">
        <v>52</v>
      </c>
      <c r="I31" s="15" t="s">
        <v>53</v>
      </c>
      <c r="J31" s="13" t="s">
        <v>50</v>
      </c>
      <c r="K31" s="15" t="s">
        <v>66</v>
      </c>
      <c r="L31" s="15" t="s">
        <v>135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1</v>
      </c>
      <c r="Q31" s="17" t="n">
        <f aca="false">P31*O31</f>
        <v>4.5</v>
      </c>
    </row>
    <row r="32" customFormat="false" ht="15" hidden="false" customHeight="false" outlineLevel="0" collapsed="false">
      <c r="A32" s="13" t="str">
        <f aca="false">"W"&amp;WEEKNUM(B32,21)</f>
        <v>W41</v>
      </c>
      <c r="B32" s="14" t="n">
        <v>46305</v>
      </c>
      <c r="C32" s="13"/>
      <c r="D32" s="13"/>
      <c r="E32" s="13"/>
      <c r="F32" s="13"/>
      <c r="G32" s="13" t="s">
        <v>68</v>
      </c>
      <c r="H32" s="13" t="s">
        <v>52</v>
      </c>
      <c r="I32" s="15" t="s">
        <v>53</v>
      </c>
      <c r="J32" s="13" t="s">
        <v>50</v>
      </c>
      <c r="K32" s="15" t="s">
        <v>56</v>
      </c>
      <c r="L32" s="15" t="s">
        <v>57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W41</v>
      </c>
      <c r="B33" s="14" t="n">
        <v>46305</v>
      </c>
      <c r="C33" s="13"/>
      <c r="D33" s="13"/>
      <c r="E33" s="13"/>
      <c r="F33" s="13"/>
      <c r="G33" s="13" t="s">
        <v>68</v>
      </c>
      <c r="H33" s="13" t="s">
        <v>52</v>
      </c>
      <c r="I33" s="15" t="s">
        <v>53</v>
      </c>
      <c r="J33" s="13" t="s">
        <v>50</v>
      </c>
      <c r="K33" s="15" t="s">
        <v>58</v>
      </c>
      <c r="L33" s="15" t="s">
        <v>131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2</v>
      </c>
      <c r="Q33" s="17" t="n">
        <f aca="false">P33*O33</f>
        <v>9</v>
      </c>
    </row>
    <row r="34" customFormat="false" ht="15" hidden="false" customHeight="false" outlineLevel="0" collapsed="false">
      <c r="A34" s="13" t="str">
        <f aca="false">"W"&amp;WEEKNUM(B34,21)</f>
        <v>W41</v>
      </c>
      <c r="B34" s="14" t="n">
        <v>46305</v>
      </c>
      <c r="C34" s="13"/>
      <c r="D34" s="13"/>
      <c r="E34" s="13"/>
      <c r="F34" s="13"/>
      <c r="G34" s="13" t="s">
        <v>68</v>
      </c>
      <c r="H34" s="13" t="s">
        <v>52</v>
      </c>
      <c r="I34" s="15" t="s">
        <v>53</v>
      </c>
      <c r="J34" s="13" t="s">
        <v>50</v>
      </c>
      <c r="K34" s="15" t="s">
        <v>70</v>
      </c>
      <c r="L34" s="15" t="s">
        <v>136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W41</v>
      </c>
      <c r="B35" s="14" t="n">
        <v>46305</v>
      </c>
      <c r="C35" s="13"/>
      <c r="D35" s="13"/>
      <c r="E35" s="13"/>
      <c r="F35" s="13"/>
      <c r="G35" s="13" t="s">
        <v>72</v>
      </c>
      <c r="H35" s="13" t="s">
        <v>52</v>
      </c>
      <c r="I35" s="15" t="s">
        <v>53</v>
      </c>
      <c r="J35" s="13" t="s">
        <v>50</v>
      </c>
      <c r="K35" s="15" t="s">
        <v>56</v>
      </c>
      <c r="L35" s="15" t="s">
        <v>122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3</v>
      </c>
      <c r="Q35" s="17" t="n">
        <f aca="false">P35*O35</f>
        <v>13.5</v>
      </c>
    </row>
    <row r="36" customFormat="false" ht="15" hidden="false" customHeight="false" outlineLevel="0" collapsed="false">
      <c r="A36" s="13" t="str">
        <f aca="false">"W"&amp;WEEKNUM(B36,21)</f>
        <v>W41</v>
      </c>
      <c r="B36" s="14" t="n">
        <v>46305</v>
      </c>
      <c r="C36" s="13"/>
      <c r="D36" s="13"/>
      <c r="E36" s="13"/>
      <c r="F36" s="13"/>
      <c r="G36" s="13" t="s">
        <v>72</v>
      </c>
      <c r="H36" s="13" t="s">
        <v>52</v>
      </c>
      <c r="I36" s="15" t="s">
        <v>53</v>
      </c>
      <c r="J36" s="13" t="s">
        <v>50</v>
      </c>
      <c r="K36" s="15" t="s">
        <v>60</v>
      </c>
      <c r="L36" s="15" t="s">
        <v>118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W41</v>
      </c>
      <c r="B37" s="14" t="n">
        <v>46305</v>
      </c>
      <c r="C37" s="13"/>
      <c r="D37" s="13"/>
      <c r="E37" s="13"/>
      <c r="F37" s="13"/>
      <c r="G37" s="13" t="s">
        <v>28</v>
      </c>
      <c r="H37" s="13" t="s">
        <v>52</v>
      </c>
      <c r="I37" s="15" t="s">
        <v>53</v>
      </c>
      <c r="J37" s="13" t="s">
        <v>50</v>
      </c>
      <c r="K37" s="15" t="s">
        <v>87</v>
      </c>
      <c r="L37" s="15" t="s">
        <v>137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6</v>
      </c>
      <c r="Q37" s="17" t="n">
        <f aca="false">P37*O37</f>
        <v>27</v>
      </c>
    </row>
    <row r="38" customFormat="false" ht="15" hidden="false" customHeight="false" outlineLevel="0" collapsed="false">
      <c r="A38" s="13" t="str">
        <f aca="false">"W"&amp;WEEKNUM(B38,21)</f>
        <v>W41</v>
      </c>
      <c r="B38" s="14" t="n">
        <v>46305</v>
      </c>
      <c r="C38" s="13"/>
      <c r="D38" s="13"/>
      <c r="E38" s="13"/>
      <c r="F38" s="13"/>
      <c r="G38" s="13" t="s">
        <v>28</v>
      </c>
      <c r="H38" s="13" t="s">
        <v>52</v>
      </c>
      <c r="I38" s="15" t="s">
        <v>53</v>
      </c>
      <c r="J38" s="13" t="s">
        <v>50</v>
      </c>
      <c r="K38" s="15" t="s">
        <v>100</v>
      </c>
      <c r="L38" s="15" t="s">
        <v>138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7</v>
      </c>
      <c r="Q38" s="17" t="n">
        <f aca="false">P38*O38</f>
        <v>31.5</v>
      </c>
    </row>
    <row r="39" customFormat="false" ht="15" hidden="false" customHeight="false" outlineLevel="0" collapsed="false">
      <c r="A39" s="13" t="str">
        <f aca="false">"W"&amp;WEEKNUM(B39,21)</f>
        <v>W41</v>
      </c>
      <c r="B39" s="14" t="n">
        <v>46305</v>
      </c>
      <c r="C39" s="13"/>
      <c r="D39" s="13"/>
      <c r="E39" s="13"/>
      <c r="F39" s="13"/>
      <c r="G39" s="13" t="s">
        <v>72</v>
      </c>
      <c r="H39" s="13" t="s">
        <v>52</v>
      </c>
      <c r="I39" s="15" t="s">
        <v>53</v>
      </c>
      <c r="J39" s="13" t="s">
        <v>50</v>
      </c>
      <c r="K39" s="15" t="s">
        <v>100</v>
      </c>
      <c r="L39" s="15" t="s">
        <v>138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4</v>
      </c>
      <c r="Q39" s="17" t="n">
        <f aca="false">P39*O39</f>
        <v>18</v>
      </c>
    </row>
    <row r="40" customFormat="false" ht="15" hidden="false" customHeight="false" outlineLevel="0" collapsed="false">
      <c r="A40" s="13" t="str">
        <f aca="false">"W"&amp;WEEKNUM(B40,21)</f>
        <v>W41</v>
      </c>
      <c r="B40" s="14" t="n">
        <v>46305</v>
      </c>
      <c r="C40" s="13"/>
      <c r="D40" s="13"/>
      <c r="E40" s="13"/>
      <c r="F40" s="13"/>
      <c r="G40" s="13" t="s">
        <v>25</v>
      </c>
      <c r="H40" s="13" t="s">
        <v>52</v>
      </c>
      <c r="I40" s="15" t="s">
        <v>53</v>
      </c>
      <c r="J40" s="13" t="s">
        <v>50</v>
      </c>
      <c r="K40" s="15" t="s">
        <v>100</v>
      </c>
      <c r="L40" s="15" t="s">
        <v>138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3</v>
      </c>
      <c r="Q40" s="17" t="n">
        <f aca="false">P40*O40</f>
        <v>13.5</v>
      </c>
    </row>
    <row r="41" customFormat="false" ht="15" hidden="false" customHeight="false" outlineLevel="0" collapsed="false">
      <c r="A41" s="13" t="str">
        <f aca="false">"W"&amp;WEEKNUM(B41,21)</f>
        <v>W41</v>
      </c>
      <c r="B41" s="14" t="n">
        <v>46305</v>
      </c>
      <c r="C41" s="13"/>
      <c r="D41" s="13"/>
      <c r="E41" s="13"/>
      <c r="F41" s="13"/>
      <c r="G41" s="13" t="s">
        <v>28</v>
      </c>
      <c r="H41" s="13" t="s">
        <v>52</v>
      </c>
      <c r="I41" s="15" t="s">
        <v>53</v>
      </c>
      <c r="J41" s="13" t="s">
        <v>50</v>
      </c>
      <c r="K41" s="15" t="s">
        <v>113</v>
      </c>
      <c r="L41" s="15" t="s">
        <v>139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6</v>
      </c>
      <c r="Q41" s="17" t="n">
        <f aca="false">P41*O41</f>
        <v>27</v>
      </c>
    </row>
    <row r="42" customFormat="false" ht="15" hidden="false" customHeight="false" outlineLevel="0" collapsed="false">
      <c r="A42" s="13" t="str">
        <f aca="false">"W"&amp;WEEKNUM(B42,21)</f>
        <v>W41</v>
      </c>
      <c r="B42" s="14" t="n">
        <v>46305</v>
      </c>
      <c r="C42" s="13"/>
      <c r="D42" s="13"/>
      <c r="E42" s="13"/>
      <c r="F42" s="13"/>
      <c r="G42" s="13" t="s">
        <v>72</v>
      </c>
      <c r="H42" s="13" t="s">
        <v>52</v>
      </c>
      <c r="I42" s="15" t="s">
        <v>53</v>
      </c>
      <c r="J42" s="13" t="s">
        <v>50</v>
      </c>
      <c r="K42" s="15" t="s">
        <v>113</v>
      </c>
      <c r="L42" s="15" t="s">
        <v>139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2</v>
      </c>
      <c r="Q42" s="17" t="n">
        <f aca="false">P42*O42</f>
        <v>9</v>
      </c>
    </row>
    <row r="43" customFormat="false" ht="15" hidden="false" customHeight="false" outlineLevel="0" collapsed="false">
      <c r="A43" s="13" t="str">
        <f aca="false">"W"&amp;WEEKNUM(B43,21)</f>
        <v>W41</v>
      </c>
      <c r="B43" s="14" t="n">
        <v>46305</v>
      </c>
      <c r="C43" s="13"/>
      <c r="D43" s="13"/>
      <c r="E43" s="13"/>
      <c r="F43" s="13"/>
      <c r="G43" s="13" t="s">
        <v>72</v>
      </c>
      <c r="H43" s="13" t="s">
        <v>52</v>
      </c>
      <c r="I43" s="15" t="s">
        <v>53</v>
      </c>
      <c r="J43" s="13" t="s">
        <v>50</v>
      </c>
      <c r="K43" s="15" t="s">
        <v>127</v>
      </c>
      <c r="L43" s="15" t="s">
        <v>140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1</v>
      </c>
      <c r="Q43" s="17" t="n">
        <f aca="false">P43*O43</f>
        <v>4.5</v>
      </c>
    </row>
    <row r="44" customFormat="false" ht="15" hidden="false" customHeight="false" outlineLevel="0" collapsed="false">
      <c r="A44" s="13" t="str">
        <f aca="false">"W"&amp;WEEKNUM(B44,21)</f>
        <v>W41</v>
      </c>
      <c r="B44" s="14" t="n">
        <v>46305</v>
      </c>
      <c r="C44" s="13"/>
      <c r="D44" s="13"/>
      <c r="E44" s="13"/>
      <c r="F44" s="13"/>
      <c r="G44" s="13" t="s">
        <v>25</v>
      </c>
      <c r="H44" s="13" t="s">
        <v>52</v>
      </c>
      <c r="I44" s="15" t="s">
        <v>53</v>
      </c>
      <c r="J44" s="13" t="s">
        <v>50</v>
      </c>
      <c r="K44" s="15" t="s">
        <v>127</v>
      </c>
      <c r="L44" s="15" t="s">
        <v>140</v>
      </c>
      <c r="M44" s="16" t="n">
        <v>0.3125</v>
      </c>
      <c r="N44" s="16" t="n">
        <v>0.5</v>
      </c>
      <c r="O44" s="17" t="n">
        <f aca="false">(N44-M44)*24</f>
        <v>4.5</v>
      </c>
      <c r="P44" s="13" t="n">
        <v>3</v>
      </c>
      <c r="Q44" s="17" t="n">
        <f aca="false">P44*O44</f>
        <v>13.5</v>
      </c>
    </row>
    <row r="45" customFormat="false" ht="15" hidden="false" customHeight="false" outlineLevel="0" collapsed="false">
      <c r="P45" s="18" t="s">
        <v>75</v>
      </c>
      <c r="Q45" s="19" t="n">
        <f aca="false">SUM(Q3:Q44)</f>
        <v>483.5</v>
      </c>
    </row>
    <row r="47" customFormat="false" ht="15" hidden="false" customHeight="false" outlineLevel="0" collapsed="false">
      <c r="A47" s="20" t="s">
        <v>76</v>
      </c>
    </row>
  </sheetData>
  <autoFilter ref="A2:Q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141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W42</v>
      </c>
      <c r="B3" s="4" t="n">
        <v>46307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W42</v>
      </c>
      <c r="B4" s="4" t="n">
        <v>46307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W42</v>
      </c>
      <c r="B5" s="4" t="n">
        <v>46307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W42</v>
      </c>
      <c r="B6" s="4" t="n">
        <v>46307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W42</v>
      </c>
      <c r="B7" s="4" t="n">
        <v>46307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W42</v>
      </c>
      <c r="B8" s="4" t="n">
        <v>46307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W42</v>
      </c>
      <c r="B9" s="4" t="n">
        <v>46307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W42</v>
      </c>
      <c r="B10" s="4" t="n">
        <v>46307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W42</v>
      </c>
      <c r="B11" s="4" t="n">
        <v>46307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W42</v>
      </c>
      <c r="B12" s="4" t="n">
        <v>46307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W42</v>
      </c>
      <c r="B13" s="4" t="n">
        <v>46307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W42</v>
      </c>
      <c r="B14" s="4" t="n">
        <v>46307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W42</v>
      </c>
      <c r="B15" s="4" t="n">
        <v>46307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W42</v>
      </c>
      <c r="B16" s="4" t="n">
        <v>46307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W42</v>
      </c>
      <c r="B17" s="4" t="n">
        <v>46307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W42</v>
      </c>
      <c r="B18" s="4" t="n">
        <v>46307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W42</v>
      </c>
      <c r="B19" s="4" t="n">
        <v>46307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W42</v>
      </c>
      <c r="B20" s="4" t="n">
        <v>46307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W42</v>
      </c>
      <c r="B21" s="4" t="n">
        <v>46307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W42</v>
      </c>
      <c r="B22" s="4" t="n">
        <v>46307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W42</v>
      </c>
      <c r="B23" s="9" t="n">
        <v>46307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2</v>
      </c>
      <c r="Q23" s="12" t="n">
        <f aca="false">P23*O23</f>
        <v>16</v>
      </c>
    </row>
    <row r="24" customFormat="false" ht="15" hidden="false" customHeight="false" outlineLevel="0" collapsed="false">
      <c r="A24" s="8" t="str">
        <f aca="false">"W"&amp;WEEKNUM(B24,21)</f>
        <v>W42</v>
      </c>
      <c r="B24" s="9" t="n">
        <v>46307</v>
      </c>
      <c r="C24" s="8"/>
      <c r="D24" s="8"/>
      <c r="E24" s="8"/>
      <c r="F24" s="8"/>
      <c r="G24" s="8" t="s">
        <v>72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1</v>
      </c>
      <c r="Q24" s="12" t="n">
        <f aca="false">P24*O24</f>
        <v>8</v>
      </c>
    </row>
    <row r="25" customFormat="false" ht="15" hidden="false" customHeight="false" outlineLevel="0" collapsed="false">
      <c r="A25" s="13" t="str">
        <f aca="false">"W"&amp;WEEKNUM(B25,21)</f>
        <v>W42</v>
      </c>
      <c r="B25" s="14" t="n">
        <v>46307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54</v>
      </c>
      <c r="L25" s="15" t="s">
        <v>142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7</v>
      </c>
      <c r="Q25" s="17" t="n">
        <f aca="false">P25*O25</f>
        <v>31.5</v>
      </c>
    </row>
    <row r="26" customFormat="false" ht="15" hidden="false" customHeight="false" outlineLevel="0" collapsed="false">
      <c r="A26" s="13" t="str">
        <f aca="false">"W"&amp;WEEKNUM(B26,21)</f>
        <v>W42</v>
      </c>
      <c r="B26" s="14" t="n">
        <v>46307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58</v>
      </c>
      <c r="L26" s="15" t="s">
        <v>143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5</v>
      </c>
      <c r="Q26" s="17" t="n">
        <f aca="false">P26*O26</f>
        <v>22.5</v>
      </c>
    </row>
    <row r="27" customFormat="false" ht="15" hidden="false" customHeight="false" outlineLevel="0" collapsed="false">
      <c r="A27" s="13" t="str">
        <f aca="false">"W"&amp;WEEKNUM(B27,21)</f>
        <v>W42</v>
      </c>
      <c r="B27" s="14" t="n">
        <v>46307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60</v>
      </c>
      <c r="L27" s="15" t="s">
        <v>144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1</v>
      </c>
      <c r="Q27" s="17" t="n">
        <f aca="false">P27*O27</f>
        <v>4.5</v>
      </c>
    </row>
    <row r="28" customFormat="false" ht="15" hidden="false" customHeight="false" outlineLevel="0" collapsed="false">
      <c r="A28" s="13" t="str">
        <f aca="false">"W"&amp;WEEKNUM(B28,21)</f>
        <v>W42</v>
      </c>
      <c r="B28" s="14" t="n">
        <v>46307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62</v>
      </c>
      <c r="L28" s="15" t="s">
        <v>145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3</v>
      </c>
      <c r="Q28" s="17" t="n">
        <f aca="false">P28*O28</f>
        <v>13.5</v>
      </c>
    </row>
    <row r="29" customFormat="false" ht="15" hidden="false" customHeight="false" outlineLevel="0" collapsed="false">
      <c r="A29" s="13" t="str">
        <f aca="false">"W"&amp;WEEKNUM(B29,21)</f>
        <v>W42</v>
      </c>
      <c r="B29" s="14" t="n">
        <v>46307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64</v>
      </c>
      <c r="L29" s="15" t="s">
        <v>146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W42</v>
      </c>
      <c r="B30" s="14" t="n">
        <v>46307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66</v>
      </c>
      <c r="L30" s="15" t="s">
        <v>147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4</v>
      </c>
      <c r="Q30" s="17" t="n">
        <f aca="false">P30*O30</f>
        <v>18</v>
      </c>
    </row>
    <row r="31" customFormat="false" ht="15" hidden="false" customHeight="false" outlineLevel="0" collapsed="false">
      <c r="A31" s="13" t="str">
        <f aca="false">"W"&amp;WEEKNUM(B31,21)</f>
        <v>W42</v>
      </c>
      <c r="B31" s="14" t="n">
        <v>46307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58</v>
      </c>
      <c r="L31" s="15" t="s">
        <v>143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3</v>
      </c>
      <c r="Q31" s="17" t="n">
        <f aca="false">P31*O31</f>
        <v>13.5</v>
      </c>
    </row>
    <row r="32" customFormat="false" ht="15" hidden="false" customHeight="false" outlineLevel="0" collapsed="false">
      <c r="A32" s="13" t="str">
        <f aca="false">"W"&amp;WEEKNUM(B32,21)</f>
        <v>W42</v>
      </c>
      <c r="B32" s="14" t="n">
        <v>46307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60</v>
      </c>
      <c r="L32" s="15" t="s">
        <v>144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W42</v>
      </c>
      <c r="B33" s="14" t="n">
        <v>46307</v>
      </c>
      <c r="C33" s="13"/>
      <c r="D33" s="13"/>
      <c r="E33" s="13"/>
      <c r="F33" s="13"/>
      <c r="G33" s="13" t="s">
        <v>68</v>
      </c>
      <c r="H33" s="13" t="s">
        <v>52</v>
      </c>
      <c r="I33" s="15" t="s">
        <v>53</v>
      </c>
      <c r="J33" s="13" t="s">
        <v>50</v>
      </c>
      <c r="K33" s="15" t="s">
        <v>66</v>
      </c>
      <c r="L33" s="15" t="s">
        <v>147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1</v>
      </c>
      <c r="Q33" s="17" t="n">
        <f aca="false">P33*O33</f>
        <v>4.5</v>
      </c>
    </row>
    <row r="34" customFormat="false" ht="15" hidden="false" customHeight="false" outlineLevel="0" collapsed="false">
      <c r="A34" s="13" t="str">
        <f aca="false">"W"&amp;WEEKNUM(B34,21)</f>
        <v>W42</v>
      </c>
      <c r="B34" s="14" t="n">
        <v>46307</v>
      </c>
      <c r="C34" s="13"/>
      <c r="D34" s="13"/>
      <c r="E34" s="13"/>
      <c r="F34" s="13"/>
      <c r="G34" s="13" t="s">
        <v>68</v>
      </c>
      <c r="H34" s="13" t="s">
        <v>52</v>
      </c>
      <c r="I34" s="15" t="s">
        <v>53</v>
      </c>
      <c r="J34" s="13" t="s">
        <v>50</v>
      </c>
      <c r="K34" s="15" t="s">
        <v>56</v>
      </c>
      <c r="L34" s="15" t="s">
        <v>79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W42</v>
      </c>
      <c r="B35" s="14" t="n">
        <v>46307</v>
      </c>
      <c r="C35" s="13"/>
      <c r="D35" s="13"/>
      <c r="E35" s="13"/>
      <c r="F35" s="13"/>
      <c r="G35" s="13" t="s">
        <v>68</v>
      </c>
      <c r="H35" s="13" t="s">
        <v>52</v>
      </c>
      <c r="I35" s="15" t="s">
        <v>53</v>
      </c>
      <c r="J35" s="13" t="s">
        <v>50</v>
      </c>
      <c r="K35" s="15" t="s">
        <v>58</v>
      </c>
      <c r="L35" s="15" t="s">
        <v>143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2</v>
      </c>
      <c r="Q35" s="17" t="n">
        <f aca="false">P35*O35</f>
        <v>9</v>
      </c>
    </row>
    <row r="36" customFormat="false" ht="15" hidden="false" customHeight="false" outlineLevel="0" collapsed="false">
      <c r="A36" s="13" t="str">
        <f aca="false">"W"&amp;WEEKNUM(B36,21)</f>
        <v>W42</v>
      </c>
      <c r="B36" s="14" t="n">
        <v>46307</v>
      </c>
      <c r="C36" s="13"/>
      <c r="D36" s="13"/>
      <c r="E36" s="13"/>
      <c r="F36" s="13"/>
      <c r="G36" s="13" t="s">
        <v>68</v>
      </c>
      <c r="H36" s="13" t="s">
        <v>52</v>
      </c>
      <c r="I36" s="15" t="s">
        <v>53</v>
      </c>
      <c r="J36" s="13" t="s">
        <v>50</v>
      </c>
      <c r="K36" s="15" t="s">
        <v>70</v>
      </c>
      <c r="L36" s="15" t="s">
        <v>148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W42</v>
      </c>
      <c r="B37" s="14" t="n">
        <v>46307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56</v>
      </c>
      <c r="L37" s="15" t="s">
        <v>57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3</v>
      </c>
      <c r="Q37" s="17" t="n">
        <f aca="false">P37*O37</f>
        <v>13.5</v>
      </c>
    </row>
    <row r="38" customFormat="false" ht="15" hidden="false" customHeight="false" outlineLevel="0" collapsed="false">
      <c r="A38" s="13" t="str">
        <f aca="false">"W"&amp;WEEKNUM(B38,21)</f>
        <v>W42</v>
      </c>
      <c r="B38" s="14" t="n">
        <v>46307</v>
      </c>
      <c r="C38" s="13"/>
      <c r="D38" s="13"/>
      <c r="E38" s="13"/>
      <c r="F38" s="13"/>
      <c r="G38" s="13" t="s">
        <v>72</v>
      </c>
      <c r="H38" s="13" t="s">
        <v>52</v>
      </c>
      <c r="I38" s="15" t="s">
        <v>53</v>
      </c>
      <c r="J38" s="13" t="s">
        <v>50</v>
      </c>
      <c r="K38" s="15" t="s">
        <v>60</v>
      </c>
      <c r="L38" s="15" t="s">
        <v>132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W42</v>
      </c>
      <c r="B39" s="14" t="n">
        <v>46307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87</v>
      </c>
      <c r="L39" s="15" t="s">
        <v>149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6</v>
      </c>
      <c r="Q39" s="17" t="n">
        <f aca="false">P39*O39</f>
        <v>27</v>
      </c>
    </row>
    <row r="40" customFormat="false" ht="15" hidden="false" customHeight="false" outlineLevel="0" collapsed="false">
      <c r="A40" s="13" t="str">
        <f aca="false">"W"&amp;WEEKNUM(B40,21)</f>
        <v>W42</v>
      </c>
      <c r="B40" s="14" t="n">
        <v>46307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100</v>
      </c>
      <c r="L40" s="15" t="s">
        <v>150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7</v>
      </c>
      <c r="Q40" s="17" t="n">
        <f aca="false">P40*O40</f>
        <v>31.5</v>
      </c>
    </row>
    <row r="41" customFormat="false" ht="15" hidden="false" customHeight="false" outlineLevel="0" collapsed="false">
      <c r="A41" s="13" t="str">
        <f aca="false">"W"&amp;WEEKNUM(B41,21)</f>
        <v>W42</v>
      </c>
      <c r="B41" s="14" t="n">
        <v>46307</v>
      </c>
      <c r="C41" s="13"/>
      <c r="D41" s="13"/>
      <c r="E41" s="13"/>
      <c r="F41" s="13"/>
      <c r="G41" s="13" t="s">
        <v>72</v>
      </c>
      <c r="H41" s="13" t="s">
        <v>52</v>
      </c>
      <c r="I41" s="15" t="s">
        <v>53</v>
      </c>
      <c r="J41" s="13" t="s">
        <v>50</v>
      </c>
      <c r="K41" s="15" t="s">
        <v>100</v>
      </c>
      <c r="L41" s="15" t="s">
        <v>150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4</v>
      </c>
      <c r="Q41" s="17" t="n">
        <f aca="false">P41*O41</f>
        <v>18</v>
      </c>
    </row>
    <row r="42" customFormat="false" ht="15" hidden="false" customHeight="false" outlineLevel="0" collapsed="false">
      <c r="A42" s="13" t="str">
        <f aca="false">"W"&amp;WEEKNUM(B42,21)</f>
        <v>W42</v>
      </c>
      <c r="B42" s="14" t="n">
        <v>46307</v>
      </c>
      <c r="C42" s="13"/>
      <c r="D42" s="13"/>
      <c r="E42" s="13"/>
      <c r="F42" s="13"/>
      <c r="G42" s="13" t="s">
        <v>25</v>
      </c>
      <c r="H42" s="13" t="s">
        <v>52</v>
      </c>
      <c r="I42" s="15" t="s">
        <v>53</v>
      </c>
      <c r="J42" s="13" t="s">
        <v>50</v>
      </c>
      <c r="K42" s="15" t="s">
        <v>100</v>
      </c>
      <c r="L42" s="15" t="s">
        <v>150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3</v>
      </c>
      <c r="Q42" s="17" t="n">
        <f aca="false">P42*O42</f>
        <v>13.5</v>
      </c>
    </row>
    <row r="43" customFormat="false" ht="15" hidden="false" customHeight="false" outlineLevel="0" collapsed="false">
      <c r="A43" s="13" t="str">
        <f aca="false">"W"&amp;WEEKNUM(B43,21)</f>
        <v>W42</v>
      </c>
      <c r="B43" s="14" t="n">
        <v>46307</v>
      </c>
      <c r="C43" s="13"/>
      <c r="D43" s="13"/>
      <c r="E43" s="13"/>
      <c r="F43" s="13"/>
      <c r="G43" s="13" t="s">
        <v>28</v>
      </c>
      <c r="H43" s="13" t="s">
        <v>52</v>
      </c>
      <c r="I43" s="15" t="s">
        <v>53</v>
      </c>
      <c r="J43" s="13" t="s">
        <v>50</v>
      </c>
      <c r="K43" s="15" t="s">
        <v>113</v>
      </c>
      <c r="L43" s="15" t="s">
        <v>151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6</v>
      </c>
      <c r="Q43" s="17" t="n">
        <f aca="false">P43*O43</f>
        <v>27</v>
      </c>
    </row>
    <row r="44" customFormat="false" ht="15" hidden="false" customHeight="false" outlineLevel="0" collapsed="false">
      <c r="A44" s="13" t="str">
        <f aca="false">"W"&amp;WEEKNUM(B44,21)</f>
        <v>W42</v>
      </c>
      <c r="B44" s="14" t="n">
        <v>46307</v>
      </c>
      <c r="C44" s="13"/>
      <c r="D44" s="13"/>
      <c r="E44" s="13"/>
      <c r="F44" s="13"/>
      <c r="G44" s="13" t="s">
        <v>72</v>
      </c>
      <c r="H44" s="13" t="s">
        <v>52</v>
      </c>
      <c r="I44" s="15" t="s">
        <v>53</v>
      </c>
      <c r="J44" s="13" t="s">
        <v>50</v>
      </c>
      <c r="K44" s="15" t="s">
        <v>113</v>
      </c>
      <c r="L44" s="15" t="s">
        <v>151</v>
      </c>
      <c r="M44" s="16" t="n">
        <v>0.3125</v>
      </c>
      <c r="N44" s="16" t="n">
        <v>0.5</v>
      </c>
      <c r="O44" s="17" t="n">
        <f aca="false">(N44-M44)*24</f>
        <v>4.5</v>
      </c>
      <c r="P44" s="13" t="n">
        <v>2</v>
      </c>
      <c r="Q44" s="17" t="n">
        <f aca="false">P44*O44</f>
        <v>9</v>
      </c>
    </row>
    <row r="45" customFormat="false" ht="15" hidden="false" customHeight="false" outlineLevel="0" collapsed="false">
      <c r="A45" s="13" t="str">
        <f aca="false">"W"&amp;WEEKNUM(B45,21)</f>
        <v>W42</v>
      </c>
      <c r="B45" s="14" t="n">
        <v>46307</v>
      </c>
      <c r="C45" s="13"/>
      <c r="D45" s="13"/>
      <c r="E45" s="13"/>
      <c r="F45" s="13"/>
      <c r="G45" s="13" t="s">
        <v>72</v>
      </c>
      <c r="H45" s="13" t="s">
        <v>52</v>
      </c>
      <c r="I45" s="15" t="s">
        <v>53</v>
      </c>
      <c r="J45" s="13" t="s">
        <v>50</v>
      </c>
      <c r="K45" s="15" t="s">
        <v>127</v>
      </c>
      <c r="L45" s="15" t="s">
        <v>152</v>
      </c>
      <c r="M45" s="16" t="n">
        <v>0.3125</v>
      </c>
      <c r="N45" s="16" t="n">
        <v>0.5</v>
      </c>
      <c r="O45" s="17" t="n">
        <f aca="false">(N45-M45)*24</f>
        <v>4.5</v>
      </c>
      <c r="P45" s="13" t="n">
        <v>1</v>
      </c>
      <c r="Q45" s="17" t="n">
        <f aca="false">P45*O45</f>
        <v>4.5</v>
      </c>
    </row>
    <row r="46" customFormat="false" ht="15" hidden="false" customHeight="false" outlineLevel="0" collapsed="false">
      <c r="A46" s="13" t="str">
        <f aca="false">"W"&amp;WEEKNUM(B46,21)</f>
        <v>W42</v>
      </c>
      <c r="B46" s="14" t="n">
        <v>46307</v>
      </c>
      <c r="C46" s="13"/>
      <c r="D46" s="13"/>
      <c r="E46" s="13"/>
      <c r="F46" s="13"/>
      <c r="G46" s="13" t="s">
        <v>25</v>
      </c>
      <c r="H46" s="13" t="s">
        <v>52</v>
      </c>
      <c r="I46" s="15" t="s">
        <v>53</v>
      </c>
      <c r="J46" s="13" t="s">
        <v>50</v>
      </c>
      <c r="K46" s="15" t="s">
        <v>127</v>
      </c>
      <c r="L46" s="15" t="s">
        <v>152</v>
      </c>
      <c r="M46" s="16" t="n">
        <v>0.3125</v>
      </c>
      <c r="N46" s="16" t="n">
        <v>0.5</v>
      </c>
      <c r="O46" s="17" t="n">
        <f aca="false">(N46-M46)*24</f>
        <v>4.5</v>
      </c>
      <c r="P46" s="13" t="n">
        <v>3</v>
      </c>
      <c r="Q46" s="17" t="n">
        <f aca="false">P46*O46</f>
        <v>13.5</v>
      </c>
    </row>
    <row r="47" customFormat="false" ht="15" hidden="false" customHeight="false" outlineLevel="0" collapsed="false">
      <c r="P47" s="18" t="s">
        <v>75</v>
      </c>
      <c r="Q47" s="19" t="n">
        <f aca="false">SUM(Q3:Q46)</f>
        <v>597.5</v>
      </c>
    </row>
    <row r="49" customFormat="false" ht="15" hidden="false" customHeight="false" outlineLevel="0" collapsed="false">
      <c r="A49" s="20" t="s">
        <v>76</v>
      </c>
    </row>
  </sheetData>
  <autoFilter ref="A2:Q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153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W42</v>
      </c>
      <c r="B3" s="4" t="n">
        <v>46308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W42</v>
      </c>
      <c r="B4" s="4" t="n">
        <v>46308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W42</v>
      </c>
      <c r="B5" s="4" t="n">
        <v>46308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W42</v>
      </c>
      <c r="B6" s="4" t="n">
        <v>46308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W42</v>
      </c>
      <c r="B7" s="4" t="n">
        <v>46308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W42</v>
      </c>
      <c r="B8" s="4" t="n">
        <v>46308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W42</v>
      </c>
      <c r="B9" s="4" t="n">
        <v>46308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W42</v>
      </c>
      <c r="B10" s="4" t="n">
        <v>46308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W42</v>
      </c>
      <c r="B11" s="4" t="n">
        <v>46308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W42</v>
      </c>
      <c r="B12" s="4" t="n">
        <v>46308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W42</v>
      </c>
      <c r="B13" s="4" t="n">
        <v>46308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W42</v>
      </c>
      <c r="B14" s="4" t="n">
        <v>46308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W42</v>
      </c>
      <c r="B15" s="4" t="n">
        <v>46308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W42</v>
      </c>
      <c r="B16" s="4" t="n">
        <v>46308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W42</v>
      </c>
      <c r="B17" s="4" t="n">
        <v>46308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W42</v>
      </c>
      <c r="B18" s="4" t="n">
        <v>46308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W42</v>
      </c>
      <c r="B19" s="4" t="n">
        <v>46308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W42</v>
      </c>
      <c r="B20" s="4" t="n">
        <v>46308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W42</v>
      </c>
      <c r="B21" s="4" t="n">
        <v>46308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W42</v>
      </c>
      <c r="B22" s="4" t="n">
        <v>46308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W42</v>
      </c>
      <c r="B23" s="9" t="n">
        <v>46308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2</v>
      </c>
      <c r="Q23" s="12" t="n">
        <f aca="false">P23*O23</f>
        <v>16</v>
      </c>
    </row>
    <row r="24" customFormat="false" ht="15" hidden="false" customHeight="false" outlineLevel="0" collapsed="false">
      <c r="A24" s="8" t="str">
        <f aca="false">"W"&amp;WEEKNUM(B24,21)</f>
        <v>W42</v>
      </c>
      <c r="B24" s="9" t="n">
        <v>46308</v>
      </c>
      <c r="C24" s="8"/>
      <c r="D24" s="8"/>
      <c r="E24" s="8"/>
      <c r="F24" s="8"/>
      <c r="G24" s="8" t="s">
        <v>72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4</v>
      </c>
      <c r="Q24" s="12" t="n">
        <f aca="false">P24*O24</f>
        <v>32</v>
      </c>
    </row>
    <row r="25" customFormat="false" ht="15" hidden="false" customHeight="false" outlineLevel="0" collapsed="false">
      <c r="A25" s="8" t="str">
        <f aca="false">"W"&amp;WEEKNUM(B25,21)</f>
        <v>W42</v>
      </c>
      <c r="B25" s="9" t="n">
        <v>46308</v>
      </c>
      <c r="C25" s="8"/>
      <c r="D25" s="8"/>
      <c r="E25" s="8"/>
      <c r="F25" s="8"/>
      <c r="G25" s="8" t="s">
        <v>25</v>
      </c>
      <c r="H25" s="8" t="s">
        <v>48</v>
      </c>
      <c r="I25" s="10" t="s">
        <v>49</v>
      </c>
      <c r="J25" s="8" t="s">
        <v>50</v>
      </c>
      <c r="K25" s="10" t="s">
        <v>51</v>
      </c>
      <c r="L25" s="10"/>
      <c r="M25" s="11" t="n">
        <v>0.333333333333333</v>
      </c>
      <c r="N25" s="11" t="n">
        <v>0.666666666666667</v>
      </c>
      <c r="O25" s="12" t="n">
        <f aca="false">(N25-M25)*24</f>
        <v>8</v>
      </c>
      <c r="P25" s="8" t="n">
        <v>1</v>
      </c>
      <c r="Q25" s="12" t="n">
        <f aca="false">P25*O25</f>
        <v>8</v>
      </c>
    </row>
    <row r="26" customFormat="false" ht="15" hidden="false" customHeight="false" outlineLevel="0" collapsed="false">
      <c r="A26" s="13" t="str">
        <f aca="false">"W"&amp;WEEKNUM(B26,21)</f>
        <v>W42</v>
      </c>
      <c r="B26" s="14" t="n">
        <v>46308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54</v>
      </c>
      <c r="L26" s="15" t="s">
        <v>154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7</v>
      </c>
      <c r="Q26" s="17" t="n">
        <f aca="false">P26*O26</f>
        <v>31.5</v>
      </c>
    </row>
    <row r="27" customFormat="false" ht="15" hidden="false" customHeight="false" outlineLevel="0" collapsed="false">
      <c r="A27" s="13" t="str">
        <f aca="false">"W"&amp;WEEKNUM(B27,21)</f>
        <v>W42</v>
      </c>
      <c r="B27" s="14" t="n">
        <v>46308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58</v>
      </c>
      <c r="L27" s="15" t="s">
        <v>155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5</v>
      </c>
      <c r="Q27" s="17" t="n">
        <f aca="false">P27*O27</f>
        <v>22.5</v>
      </c>
    </row>
    <row r="28" customFormat="false" ht="15" hidden="false" customHeight="false" outlineLevel="0" collapsed="false">
      <c r="A28" s="13" t="str">
        <f aca="false">"W"&amp;WEEKNUM(B28,21)</f>
        <v>W42</v>
      </c>
      <c r="B28" s="14" t="n">
        <v>46308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60</v>
      </c>
      <c r="L28" s="15" t="s">
        <v>156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1</v>
      </c>
      <c r="Q28" s="17" t="n">
        <f aca="false">P28*O28</f>
        <v>4.5</v>
      </c>
    </row>
    <row r="29" customFormat="false" ht="15" hidden="false" customHeight="false" outlineLevel="0" collapsed="false">
      <c r="A29" s="13" t="str">
        <f aca="false">"W"&amp;WEEKNUM(B29,21)</f>
        <v>W42</v>
      </c>
      <c r="B29" s="14" t="n">
        <v>46308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64</v>
      </c>
      <c r="L29" s="15" t="s">
        <v>157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W42</v>
      </c>
      <c r="B30" s="14" t="n">
        <v>46308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66</v>
      </c>
      <c r="L30" s="15" t="s">
        <v>158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4</v>
      </c>
      <c r="Q30" s="17" t="n">
        <f aca="false">P30*O30</f>
        <v>18</v>
      </c>
    </row>
    <row r="31" customFormat="false" ht="15" hidden="false" customHeight="false" outlineLevel="0" collapsed="false">
      <c r="A31" s="13" t="str">
        <f aca="false">"W"&amp;WEEKNUM(B31,21)</f>
        <v>W42</v>
      </c>
      <c r="B31" s="14" t="n">
        <v>46308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58</v>
      </c>
      <c r="L31" s="15" t="s">
        <v>155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3</v>
      </c>
      <c r="Q31" s="17" t="n">
        <f aca="false">P31*O31</f>
        <v>13.5</v>
      </c>
    </row>
    <row r="32" customFormat="false" ht="15" hidden="false" customHeight="false" outlineLevel="0" collapsed="false">
      <c r="A32" s="13" t="str">
        <f aca="false">"W"&amp;WEEKNUM(B32,21)</f>
        <v>W42</v>
      </c>
      <c r="B32" s="14" t="n">
        <v>46308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60</v>
      </c>
      <c r="L32" s="15" t="s">
        <v>156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W42</v>
      </c>
      <c r="B33" s="14" t="n">
        <v>46308</v>
      </c>
      <c r="C33" s="13"/>
      <c r="D33" s="13"/>
      <c r="E33" s="13"/>
      <c r="F33" s="13"/>
      <c r="G33" s="13" t="s">
        <v>68</v>
      </c>
      <c r="H33" s="13" t="s">
        <v>52</v>
      </c>
      <c r="I33" s="15" t="s">
        <v>53</v>
      </c>
      <c r="J33" s="13" t="s">
        <v>50</v>
      </c>
      <c r="K33" s="15" t="s">
        <v>66</v>
      </c>
      <c r="L33" s="15" t="s">
        <v>158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1</v>
      </c>
      <c r="Q33" s="17" t="n">
        <f aca="false">P33*O33</f>
        <v>4.5</v>
      </c>
    </row>
    <row r="34" customFormat="false" ht="15" hidden="false" customHeight="false" outlineLevel="0" collapsed="false">
      <c r="A34" s="13" t="str">
        <f aca="false">"W"&amp;WEEKNUM(B34,21)</f>
        <v>W42</v>
      </c>
      <c r="B34" s="14" t="n">
        <v>46308</v>
      </c>
      <c r="C34" s="13"/>
      <c r="D34" s="13"/>
      <c r="E34" s="13"/>
      <c r="F34" s="13"/>
      <c r="G34" s="13" t="s">
        <v>68</v>
      </c>
      <c r="H34" s="13" t="s">
        <v>52</v>
      </c>
      <c r="I34" s="15" t="s">
        <v>53</v>
      </c>
      <c r="J34" s="13" t="s">
        <v>50</v>
      </c>
      <c r="K34" s="15" t="s">
        <v>56</v>
      </c>
      <c r="L34" s="15" t="s">
        <v>91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W42</v>
      </c>
      <c r="B35" s="14" t="n">
        <v>46308</v>
      </c>
      <c r="C35" s="13"/>
      <c r="D35" s="13"/>
      <c r="E35" s="13"/>
      <c r="F35" s="13"/>
      <c r="G35" s="13" t="s">
        <v>68</v>
      </c>
      <c r="H35" s="13" t="s">
        <v>52</v>
      </c>
      <c r="I35" s="15" t="s">
        <v>53</v>
      </c>
      <c r="J35" s="13" t="s">
        <v>50</v>
      </c>
      <c r="K35" s="15" t="s">
        <v>58</v>
      </c>
      <c r="L35" s="15" t="s">
        <v>155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2</v>
      </c>
      <c r="Q35" s="17" t="n">
        <f aca="false">P35*O35</f>
        <v>9</v>
      </c>
    </row>
    <row r="36" customFormat="false" ht="15" hidden="false" customHeight="false" outlineLevel="0" collapsed="false">
      <c r="A36" s="13" t="str">
        <f aca="false">"W"&amp;WEEKNUM(B36,21)</f>
        <v>W42</v>
      </c>
      <c r="B36" s="14" t="n">
        <v>46308</v>
      </c>
      <c r="C36" s="13"/>
      <c r="D36" s="13"/>
      <c r="E36" s="13"/>
      <c r="F36" s="13"/>
      <c r="G36" s="13" t="s">
        <v>68</v>
      </c>
      <c r="H36" s="13" t="s">
        <v>52</v>
      </c>
      <c r="I36" s="15" t="s">
        <v>53</v>
      </c>
      <c r="J36" s="13" t="s">
        <v>50</v>
      </c>
      <c r="K36" s="15" t="s">
        <v>70</v>
      </c>
      <c r="L36" s="15" t="s">
        <v>159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W42</v>
      </c>
      <c r="B37" s="14" t="n">
        <v>46308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56</v>
      </c>
      <c r="L37" s="15" t="s">
        <v>79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3</v>
      </c>
      <c r="Q37" s="17" t="n">
        <f aca="false">P37*O37</f>
        <v>13.5</v>
      </c>
    </row>
    <row r="38" customFormat="false" ht="15" hidden="false" customHeight="false" outlineLevel="0" collapsed="false">
      <c r="A38" s="13" t="str">
        <f aca="false">"W"&amp;WEEKNUM(B38,21)</f>
        <v>W42</v>
      </c>
      <c r="B38" s="14" t="n">
        <v>46308</v>
      </c>
      <c r="C38" s="13"/>
      <c r="D38" s="13"/>
      <c r="E38" s="13"/>
      <c r="F38" s="13"/>
      <c r="G38" s="13" t="s">
        <v>72</v>
      </c>
      <c r="H38" s="13" t="s">
        <v>52</v>
      </c>
      <c r="I38" s="15" t="s">
        <v>53</v>
      </c>
      <c r="J38" s="13" t="s">
        <v>50</v>
      </c>
      <c r="K38" s="15" t="s">
        <v>60</v>
      </c>
      <c r="L38" s="15" t="s">
        <v>144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W42</v>
      </c>
      <c r="B39" s="14" t="n">
        <v>46308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87</v>
      </c>
      <c r="L39" s="15" t="s">
        <v>160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6</v>
      </c>
      <c r="Q39" s="17" t="n">
        <f aca="false">P39*O39</f>
        <v>27</v>
      </c>
    </row>
    <row r="40" customFormat="false" ht="15" hidden="false" customHeight="false" outlineLevel="0" collapsed="false">
      <c r="A40" s="13" t="str">
        <f aca="false">"W"&amp;WEEKNUM(B40,21)</f>
        <v>W42</v>
      </c>
      <c r="B40" s="14" t="n">
        <v>46308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100</v>
      </c>
      <c r="L40" s="15" t="s">
        <v>161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7</v>
      </c>
      <c r="Q40" s="17" t="n">
        <f aca="false">P40*O40</f>
        <v>31.5</v>
      </c>
    </row>
    <row r="41" customFormat="false" ht="15" hidden="false" customHeight="false" outlineLevel="0" collapsed="false">
      <c r="A41" s="13" t="str">
        <f aca="false">"W"&amp;WEEKNUM(B41,21)</f>
        <v>W42</v>
      </c>
      <c r="B41" s="14" t="n">
        <v>46308</v>
      </c>
      <c r="C41" s="13"/>
      <c r="D41" s="13"/>
      <c r="E41" s="13"/>
      <c r="F41" s="13"/>
      <c r="G41" s="13" t="s">
        <v>72</v>
      </c>
      <c r="H41" s="13" t="s">
        <v>52</v>
      </c>
      <c r="I41" s="15" t="s">
        <v>53</v>
      </c>
      <c r="J41" s="13" t="s">
        <v>50</v>
      </c>
      <c r="K41" s="15" t="s">
        <v>100</v>
      </c>
      <c r="L41" s="15" t="s">
        <v>161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4</v>
      </c>
      <c r="Q41" s="17" t="n">
        <f aca="false">P41*O41</f>
        <v>18</v>
      </c>
    </row>
    <row r="42" customFormat="false" ht="15" hidden="false" customHeight="false" outlineLevel="0" collapsed="false">
      <c r="A42" s="13" t="str">
        <f aca="false">"W"&amp;WEEKNUM(B42,21)</f>
        <v>W42</v>
      </c>
      <c r="B42" s="14" t="n">
        <v>46308</v>
      </c>
      <c r="C42" s="13"/>
      <c r="D42" s="13"/>
      <c r="E42" s="13"/>
      <c r="F42" s="13"/>
      <c r="G42" s="13" t="s">
        <v>25</v>
      </c>
      <c r="H42" s="13" t="s">
        <v>52</v>
      </c>
      <c r="I42" s="15" t="s">
        <v>53</v>
      </c>
      <c r="J42" s="13" t="s">
        <v>50</v>
      </c>
      <c r="K42" s="15" t="s">
        <v>100</v>
      </c>
      <c r="L42" s="15" t="s">
        <v>161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3</v>
      </c>
      <c r="Q42" s="17" t="n">
        <f aca="false">P42*O42</f>
        <v>13.5</v>
      </c>
    </row>
    <row r="43" customFormat="false" ht="15" hidden="false" customHeight="false" outlineLevel="0" collapsed="false">
      <c r="A43" s="13" t="str">
        <f aca="false">"W"&amp;WEEKNUM(B43,21)</f>
        <v>W42</v>
      </c>
      <c r="B43" s="14" t="n">
        <v>46308</v>
      </c>
      <c r="C43" s="13"/>
      <c r="D43" s="13"/>
      <c r="E43" s="13"/>
      <c r="F43" s="13"/>
      <c r="G43" s="13" t="s">
        <v>28</v>
      </c>
      <c r="H43" s="13" t="s">
        <v>52</v>
      </c>
      <c r="I43" s="15" t="s">
        <v>53</v>
      </c>
      <c r="J43" s="13" t="s">
        <v>50</v>
      </c>
      <c r="K43" s="15" t="s">
        <v>113</v>
      </c>
      <c r="L43" s="15" t="s">
        <v>162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6</v>
      </c>
      <c r="Q43" s="17" t="n">
        <f aca="false">P43*O43</f>
        <v>27</v>
      </c>
    </row>
    <row r="44" customFormat="false" ht="15" hidden="false" customHeight="false" outlineLevel="0" collapsed="false">
      <c r="A44" s="13" t="str">
        <f aca="false">"W"&amp;WEEKNUM(B44,21)</f>
        <v>W42</v>
      </c>
      <c r="B44" s="14" t="n">
        <v>46308</v>
      </c>
      <c r="C44" s="13"/>
      <c r="D44" s="13"/>
      <c r="E44" s="13"/>
      <c r="F44" s="13"/>
      <c r="G44" s="13" t="s">
        <v>72</v>
      </c>
      <c r="H44" s="13" t="s">
        <v>52</v>
      </c>
      <c r="I44" s="15" t="s">
        <v>53</v>
      </c>
      <c r="J44" s="13" t="s">
        <v>50</v>
      </c>
      <c r="K44" s="15" t="s">
        <v>113</v>
      </c>
      <c r="L44" s="15" t="s">
        <v>162</v>
      </c>
      <c r="M44" s="16" t="n">
        <v>0.3125</v>
      </c>
      <c r="N44" s="16" t="n">
        <v>0.5</v>
      </c>
      <c r="O44" s="17" t="n">
        <f aca="false">(N44-M44)*24</f>
        <v>4.5</v>
      </c>
      <c r="P44" s="13" t="n">
        <v>2</v>
      </c>
      <c r="Q44" s="17" t="n">
        <f aca="false">P44*O44</f>
        <v>9</v>
      </c>
    </row>
    <row r="45" customFormat="false" ht="15" hidden="false" customHeight="false" outlineLevel="0" collapsed="false">
      <c r="A45" s="13" t="str">
        <f aca="false">"W"&amp;WEEKNUM(B45,21)</f>
        <v>W42</v>
      </c>
      <c r="B45" s="14" t="n">
        <v>46308</v>
      </c>
      <c r="C45" s="13"/>
      <c r="D45" s="13"/>
      <c r="E45" s="13"/>
      <c r="F45" s="13"/>
      <c r="G45" s="13" t="s">
        <v>72</v>
      </c>
      <c r="H45" s="13" t="s">
        <v>52</v>
      </c>
      <c r="I45" s="15" t="s">
        <v>53</v>
      </c>
      <c r="J45" s="13" t="s">
        <v>50</v>
      </c>
      <c r="K45" s="15" t="s">
        <v>127</v>
      </c>
      <c r="L45" s="15" t="s">
        <v>163</v>
      </c>
      <c r="M45" s="16" t="n">
        <v>0.3125</v>
      </c>
      <c r="N45" s="16" t="n">
        <v>0.5</v>
      </c>
      <c r="O45" s="17" t="n">
        <f aca="false">(N45-M45)*24</f>
        <v>4.5</v>
      </c>
      <c r="P45" s="13" t="n">
        <v>1</v>
      </c>
      <c r="Q45" s="17" t="n">
        <f aca="false">P45*O45</f>
        <v>4.5</v>
      </c>
    </row>
    <row r="46" customFormat="false" ht="15" hidden="false" customHeight="false" outlineLevel="0" collapsed="false">
      <c r="A46" s="13" t="str">
        <f aca="false">"W"&amp;WEEKNUM(B46,21)</f>
        <v>W42</v>
      </c>
      <c r="B46" s="14" t="n">
        <v>46308</v>
      </c>
      <c r="C46" s="13"/>
      <c r="D46" s="13"/>
      <c r="E46" s="13"/>
      <c r="F46" s="13"/>
      <c r="G46" s="13" t="s">
        <v>25</v>
      </c>
      <c r="H46" s="13" t="s">
        <v>52</v>
      </c>
      <c r="I46" s="15" t="s">
        <v>53</v>
      </c>
      <c r="J46" s="13" t="s">
        <v>50</v>
      </c>
      <c r="K46" s="15" t="s">
        <v>127</v>
      </c>
      <c r="L46" s="15" t="s">
        <v>163</v>
      </c>
      <c r="M46" s="16" t="n">
        <v>0.3125</v>
      </c>
      <c r="N46" s="16" t="n">
        <v>0.5</v>
      </c>
      <c r="O46" s="17" t="n">
        <f aca="false">(N46-M46)*24</f>
        <v>4.5</v>
      </c>
      <c r="P46" s="13" t="n">
        <v>3</v>
      </c>
      <c r="Q46" s="17" t="n">
        <f aca="false">P46*O46</f>
        <v>13.5</v>
      </c>
    </row>
    <row r="47" customFormat="false" ht="15" hidden="false" customHeight="false" outlineLevel="0" collapsed="false">
      <c r="A47" s="13" t="str">
        <f aca="false">"W"&amp;WEEKNUM(B47,21)</f>
        <v>W42</v>
      </c>
      <c r="B47" s="14" t="n">
        <v>46308</v>
      </c>
      <c r="C47" s="13"/>
      <c r="D47" s="13"/>
      <c r="E47" s="13"/>
      <c r="F47" s="13"/>
      <c r="G47" s="13" t="s">
        <v>28</v>
      </c>
      <c r="H47" s="13" t="s">
        <v>52</v>
      </c>
      <c r="I47" s="15" t="s">
        <v>53</v>
      </c>
      <c r="J47" s="13" t="s">
        <v>50</v>
      </c>
      <c r="K47" s="15" t="s">
        <v>164</v>
      </c>
      <c r="L47" s="15" t="s">
        <v>165</v>
      </c>
      <c r="M47" s="16" t="n">
        <v>0.3125</v>
      </c>
      <c r="N47" s="16" t="n">
        <v>0.5</v>
      </c>
      <c r="O47" s="17" t="n">
        <f aca="false">(N47-M47)*24</f>
        <v>4.5</v>
      </c>
      <c r="P47" s="13" t="n">
        <v>2</v>
      </c>
      <c r="Q47" s="17" t="n">
        <f aca="false">P47*O47</f>
        <v>9</v>
      </c>
    </row>
    <row r="48" customFormat="false" ht="15" hidden="false" customHeight="false" outlineLevel="0" collapsed="false">
      <c r="A48" s="13" t="str">
        <f aca="false">"W"&amp;WEEKNUM(B48,21)</f>
        <v>W42</v>
      </c>
      <c r="B48" s="14" t="n">
        <v>46308</v>
      </c>
      <c r="C48" s="13"/>
      <c r="D48" s="13"/>
      <c r="E48" s="13"/>
      <c r="F48" s="13"/>
      <c r="G48" s="13" t="s">
        <v>72</v>
      </c>
      <c r="H48" s="13" t="s">
        <v>52</v>
      </c>
      <c r="I48" s="15" t="s">
        <v>53</v>
      </c>
      <c r="J48" s="13" t="s">
        <v>50</v>
      </c>
      <c r="K48" s="15" t="s">
        <v>164</v>
      </c>
      <c r="L48" s="15" t="s">
        <v>165</v>
      </c>
      <c r="M48" s="16" t="n">
        <v>0.3125</v>
      </c>
      <c r="N48" s="16" t="n">
        <v>0.5</v>
      </c>
      <c r="O48" s="17" t="n">
        <f aca="false">(N48-M48)*24</f>
        <v>4.5</v>
      </c>
      <c r="P48" s="13" t="n">
        <v>1</v>
      </c>
      <c r="Q48" s="17" t="n">
        <f aca="false">P48*O48</f>
        <v>4.5</v>
      </c>
    </row>
    <row r="49" customFormat="false" ht="15" hidden="false" customHeight="false" outlineLevel="0" collapsed="false">
      <c r="P49" s="18" t="s">
        <v>75</v>
      </c>
      <c r="Q49" s="19" t="n">
        <f aca="false">SUM(Q3:Q48)</f>
        <v>629.5</v>
      </c>
    </row>
    <row r="51" customFormat="false" ht="15" hidden="false" customHeight="false" outlineLevel="0" collapsed="false">
      <c r="A51" s="20" t="s">
        <v>76</v>
      </c>
    </row>
  </sheetData>
  <autoFilter ref="A2:Q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166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W42</v>
      </c>
      <c r="B3" s="4" t="n">
        <v>46309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W42</v>
      </c>
      <c r="B4" s="4" t="n">
        <v>46309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W42</v>
      </c>
      <c r="B5" s="4" t="n">
        <v>46309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W42</v>
      </c>
      <c r="B6" s="4" t="n">
        <v>46309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W42</v>
      </c>
      <c r="B7" s="4" t="n">
        <v>46309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W42</v>
      </c>
      <c r="B8" s="4" t="n">
        <v>46309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W42</v>
      </c>
      <c r="B9" s="4" t="n">
        <v>46309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W42</v>
      </c>
      <c r="B10" s="4" t="n">
        <v>46309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W42</v>
      </c>
      <c r="B11" s="4" t="n">
        <v>46309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W42</v>
      </c>
      <c r="B12" s="4" t="n">
        <v>46309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W42</v>
      </c>
      <c r="B13" s="4" t="n">
        <v>46309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W42</v>
      </c>
      <c r="B14" s="4" t="n">
        <v>46309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W42</v>
      </c>
      <c r="B15" s="4" t="n">
        <v>46309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W42</v>
      </c>
      <c r="B16" s="4" t="n">
        <v>46309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W42</v>
      </c>
      <c r="B17" s="4" t="n">
        <v>46309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W42</v>
      </c>
      <c r="B18" s="4" t="n">
        <v>46309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W42</v>
      </c>
      <c r="B19" s="4" t="n">
        <v>46309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W42</v>
      </c>
      <c r="B20" s="4" t="n">
        <v>46309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W42</v>
      </c>
      <c r="B21" s="4" t="n">
        <v>46309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W42</v>
      </c>
      <c r="B22" s="4" t="n">
        <v>46309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W42</v>
      </c>
      <c r="B23" s="9" t="n">
        <v>46309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1</v>
      </c>
      <c r="Q23" s="12" t="n">
        <f aca="false">P23*O23</f>
        <v>8</v>
      </c>
    </row>
    <row r="24" customFormat="false" ht="15" hidden="false" customHeight="false" outlineLevel="0" collapsed="false">
      <c r="A24" s="13" t="str">
        <f aca="false">"W"&amp;WEEKNUM(B24,21)</f>
        <v>W42</v>
      </c>
      <c r="B24" s="14" t="n">
        <v>46309</v>
      </c>
      <c r="C24" s="13"/>
      <c r="D24" s="13"/>
      <c r="E24" s="13"/>
      <c r="F24" s="13"/>
      <c r="G24" s="13" t="s">
        <v>72</v>
      </c>
      <c r="H24" s="13" t="s">
        <v>52</v>
      </c>
      <c r="I24" s="15" t="s">
        <v>53</v>
      </c>
      <c r="J24" s="13" t="s">
        <v>50</v>
      </c>
      <c r="K24" s="15" t="s">
        <v>56</v>
      </c>
      <c r="L24" s="15" t="s">
        <v>91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3</v>
      </c>
      <c r="Q24" s="17" t="n">
        <f aca="false">P24*O24</f>
        <v>13.5</v>
      </c>
    </row>
    <row r="25" customFormat="false" ht="15" hidden="false" customHeight="false" outlineLevel="0" collapsed="false">
      <c r="A25" s="13" t="str">
        <f aca="false">"W"&amp;WEEKNUM(B25,21)</f>
        <v>W42</v>
      </c>
      <c r="B25" s="14" t="n">
        <v>46309</v>
      </c>
      <c r="C25" s="13"/>
      <c r="D25" s="13"/>
      <c r="E25" s="13"/>
      <c r="F25" s="13"/>
      <c r="G25" s="13" t="s">
        <v>72</v>
      </c>
      <c r="H25" s="13" t="s">
        <v>52</v>
      </c>
      <c r="I25" s="15" t="s">
        <v>53</v>
      </c>
      <c r="J25" s="13" t="s">
        <v>50</v>
      </c>
      <c r="K25" s="15" t="s">
        <v>60</v>
      </c>
      <c r="L25" s="15" t="s">
        <v>156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1</v>
      </c>
      <c r="Q25" s="17" t="n">
        <f aca="false">P25*O25</f>
        <v>4.5</v>
      </c>
    </row>
    <row r="26" customFormat="false" ht="15" hidden="false" customHeight="false" outlineLevel="0" collapsed="false">
      <c r="A26" s="13" t="str">
        <f aca="false">"W"&amp;WEEKNUM(B26,21)</f>
        <v>W42</v>
      </c>
      <c r="B26" s="14" t="n">
        <v>46309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87</v>
      </c>
      <c r="L26" s="15" t="s">
        <v>167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6</v>
      </c>
      <c r="Q26" s="17" t="n">
        <f aca="false">P26*O26</f>
        <v>27</v>
      </c>
    </row>
    <row r="27" customFormat="false" ht="15" hidden="false" customHeight="false" outlineLevel="0" collapsed="false">
      <c r="A27" s="13" t="str">
        <f aca="false">"W"&amp;WEEKNUM(B27,21)</f>
        <v>W42</v>
      </c>
      <c r="B27" s="14" t="n">
        <v>46309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100</v>
      </c>
      <c r="L27" s="15" t="s">
        <v>168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7</v>
      </c>
      <c r="Q27" s="17" t="n">
        <f aca="false">P27*O27</f>
        <v>31.5</v>
      </c>
    </row>
    <row r="28" customFormat="false" ht="15" hidden="false" customHeight="false" outlineLevel="0" collapsed="false">
      <c r="A28" s="13" t="str">
        <f aca="false">"W"&amp;WEEKNUM(B28,21)</f>
        <v>W42</v>
      </c>
      <c r="B28" s="14" t="n">
        <v>46309</v>
      </c>
      <c r="C28" s="13"/>
      <c r="D28" s="13"/>
      <c r="E28" s="13"/>
      <c r="F28" s="13"/>
      <c r="G28" s="13" t="s">
        <v>72</v>
      </c>
      <c r="H28" s="13" t="s">
        <v>52</v>
      </c>
      <c r="I28" s="15" t="s">
        <v>53</v>
      </c>
      <c r="J28" s="13" t="s">
        <v>50</v>
      </c>
      <c r="K28" s="15" t="s">
        <v>100</v>
      </c>
      <c r="L28" s="15" t="s">
        <v>168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4</v>
      </c>
      <c r="Q28" s="17" t="n">
        <f aca="false">P28*O28</f>
        <v>18</v>
      </c>
    </row>
    <row r="29" customFormat="false" ht="15" hidden="false" customHeight="false" outlineLevel="0" collapsed="false">
      <c r="A29" s="13" t="str">
        <f aca="false">"W"&amp;WEEKNUM(B29,21)</f>
        <v>W42</v>
      </c>
      <c r="B29" s="14" t="n">
        <v>46309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100</v>
      </c>
      <c r="L29" s="15" t="s">
        <v>168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3</v>
      </c>
      <c r="Q29" s="17" t="n">
        <f aca="false">P29*O29</f>
        <v>13.5</v>
      </c>
    </row>
    <row r="30" customFormat="false" ht="15" hidden="false" customHeight="false" outlineLevel="0" collapsed="false">
      <c r="A30" s="13" t="str">
        <f aca="false">"W"&amp;WEEKNUM(B30,21)</f>
        <v>W42</v>
      </c>
      <c r="B30" s="14" t="n">
        <v>46309</v>
      </c>
      <c r="C30" s="13"/>
      <c r="D30" s="13"/>
      <c r="E30" s="13"/>
      <c r="F30" s="13"/>
      <c r="G30" s="13" t="s">
        <v>28</v>
      </c>
      <c r="H30" s="13" t="s">
        <v>52</v>
      </c>
      <c r="I30" s="15" t="s">
        <v>53</v>
      </c>
      <c r="J30" s="13" t="s">
        <v>50</v>
      </c>
      <c r="K30" s="15" t="s">
        <v>113</v>
      </c>
      <c r="L30" s="15" t="s">
        <v>169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6</v>
      </c>
      <c r="Q30" s="17" t="n">
        <f aca="false">P30*O30</f>
        <v>27</v>
      </c>
    </row>
    <row r="31" customFormat="false" ht="15" hidden="false" customHeight="false" outlineLevel="0" collapsed="false">
      <c r="A31" s="13" t="str">
        <f aca="false">"W"&amp;WEEKNUM(B31,21)</f>
        <v>W42</v>
      </c>
      <c r="B31" s="14" t="n">
        <v>46309</v>
      </c>
      <c r="C31" s="13"/>
      <c r="D31" s="13"/>
      <c r="E31" s="13"/>
      <c r="F31" s="13"/>
      <c r="G31" s="13" t="s">
        <v>72</v>
      </c>
      <c r="H31" s="13" t="s">
        <v>52</v>
      </c>
      <c r="I31" s="15" t="s">
        <v>53</v>
      </c>
      <c r="J31" s="13" t="s">
        <v>50</v>
      </c>
      <c r="K31" s="15" t="s">
        <v>113</v>
      </c>
      <c r="L31" s="15" t="s">
        <v>169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2</v>
      </c>
      <c r="Q31" s="17" t="n">
        <f aca="false">P31*O31</f>
        <v>9</v>
      </c>
    </row>
    <row r="32" customFormat="false" ht="15" hidden="false" customHeight="false" outlineLevel="0" collapsed="false">
      <c r="A32" s="13" t="str">
        <f aca="false">"W"&amp;WEEKNUM(B32,21)</f>
        <v>W42</v>
      </c>
      <c r="B32" s="14" t="n">
        <v>46309</v>
      </c>
      <c r="C32" s="13"/>
      <c r="D32" s="13"/>
      <c r="E32" s="13"/>
      <c r="F32" s="13"/>
      <c r="G32" s="13" t="s">
        <v>72</v>
      </c>
      <c r="H32" s="13" t="s">
        <v>52</v>
      </c>
      <c r="I32" s="15" t="s">
        <v>53</v>
      </c>
      <c r="J32" s="13" t="s">
        <v>50</v>
      </c>
      <c r="K32" s="15" t="s">
        <v>127</v>
      </c>
      <c r="L32" s="15" t="s">
        <v>170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W42</v>
      </c>
      <c r="B33" s="14" t="n">
        <v>46309</v>
      </c>
      <c r="C33" s="13"/>
      <c r="D33" s="13"/>
      <c r="E33" s="13"/>
      <c r="F33" s="13"/>
      <c r="G33" s="13" t="s">
        <v>25</v>
      </c>
      <c r="H33" s="13" t="s">
        <v>52</v>
      </c>
      <c r="I33" s="15" t="s">
        <v>53</v>
      </c>
      <c r="J33" s="13" t="s">
        <v>50</v>
      </c>
      <c r="K33" s="15" t="s">
        <v>127</v>
      </c>
      <c r="L33" s="15" t="s">
        <v>170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3</v>
      </c>
      <c r="Q33" s="17" t="n">
        <f aca="false">P33*O33</f>
        <v>13.5</v>
      </c>
    </row>
    <row r="34" customFormat="false" ht="15" hidden="false" customHeight="false" outlineLevel="0" collapsed="false">
      <c r="A34" s="13" t="str">
        <f aca="false">"W"&amp;WEEKNUM(B34,21)</f>
        <v>W42</v>
      </c>
      <c r="B34" s="14" t="n">
        <v>46309</v>
      </c>
      <c r="C34" s="13"/>
      <c r="D34" s="13"/>
      <c r="E34" s="13"/>
      <c r="F34" s="13"/>
      <c r="G34" s="13" t="s">
        <v>28</v>
      </c>
      <c r="H34" s="13" t="s">
        <v>52</v>
      </c>
      <c r="I34" s="15" t="s">
        <v>53</v>
      </c>
      <c r="J34" s="13" t="s">
        <v>50</v>
      </c>
      <c r="K34" s="15" t="s">
        <v>164</v>
      </c>
      <c r="L34" s="15" t="s">
        <v>171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2</v>
      </c>
      <c r="Q34" s="17" t="n">
        <f aca="false">P34*O34</f>
        <v>9</v>
      </c>
    </row>
    <row r="35" customFormat="false" ht="15" hidden="false" customHeight="false" outlineLevel="0" collapsed="false">
      <c r="A35" s="13" t="str">
        <f aca="false">"W"&amp;WEEKNUM(B35,21)</f>
        <v>W42</v>
      </c>
      <c r="B35" s="14" t="n">
        <v>46309</v>
      </c>
      <c r="C35" s="13"/>
      <c r="D35" s="13"/>
      <c r="E35" s="13"/>
      <c r="F35" s="13"/>
      <c r="G35" s="13" t="s">
        <v>72</v>
      </c>
      <c r="H35" s="13" t="s">
        <v>52</v>
      </c>
      <c r="I35" s="15" t="s">
        <v>53</v>
      </c>
      <c r="J35" s="13" t="s">
        <v>50</v>
      </c>
      <c r="K35" s="15" t="s">
        <v>164</v>
      </c>
      <c r="L35" s="15" t="s">
        <v>171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W42</v>
      </c>
      <c r="B36" s="14" t="n">
        <v>46309</v>
      </c>
      <c r="C36" s="13"/>
      <c r="D36" s="13"/>
      <c r="E36" s="13"/>
      <c r="F36" s="13"/>
      <c r="G36" s="13" t="s">
        <v>28</v>
      </c>
      <c r="H36" s="13" t="s">
        <v>52</v>
      </c>
      <c r="I36" s="15" t="s">
        <v>53</v>
      </c>
      <c r="J36" s="13" t="s">
        <v>50</v>
      </c>
      <c r="K36" s="15" t="s">
        <v>172</v>
      </c>
      <c r="L36" s="15" t="s">
        <v>173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2</v>
      </c>
      <c r="Q36" s="17" t="n">
        <f aca="false">P36*O36</f>
        <v>9</v>
      </c>
    </row>
    <row r="37" customFormat="false" ht="15" hidden="false" customHeight="false" outlineLevel="0" collapsed="false">
      <c r="A37" s="13" t="str">
        <f aca="false">"W"&amp;WEEKNUM(B37,21)</f>
        <v>W42</v>
      </c>
      <c r="B37" s="14" t="n">
        <v>46309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172</v>
      </c>
      <c r="L37" s="15" t="s">
        <v>173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4</v>
      </c>
      <c r="Q37" s="17" t="n">
        <f aca="false">P37*O37</f>
        <v>18</v>
      </c>
    </row>
    <row r="38" customFormat="false" ht="15" hidden="false" customHeight="false" outlineLevel="0" collapsed="false">
      <c r="A38" s="13" t="str">
        <f aca="false">"W"&amp;WEEKNUM(B38,21)</f>
        <v>W42</v>
      </c>
      <c r="B38" s="14" t="n">
        <v>46309</v>
      </c>
      <c r="C38" s="13"/>
      <c r="D38" s="13"/>
      <c r="E38" s="13"/>
      <c r="F38" s="13"/>
      <c r="G38" s="13" t="s">
        <v>25</v>
      </c>
      <c r="H38" s="13" t="s">
        <v>52</v>
      </c>
      <c r="I38" s="15" t="s">
        <v>53</v>
      </c>
      <c r="J38" s="13" t="s">
        <v>50</v>
      </c>
      <c r="K38" s="15" t="s">
        <v>172</v>
      </c>
      <c r="L38" s="15" t="s">
        <v>173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P39" s="18" t="s">
        <v>75</v>
      </c>
      <c r="Q39" s="19" t="n">
        <f aca="false">SUM(Q3:Q38)</f>
        <v>487</v>
      </c>
    </row>
    <row r="41" customFormat="false" ht="15" hidden="false" customHeight="false" outlineLevel="0" collapsed="false">
      <c r="A41" s="20" t="s">
        <v>76</v>
      </c>
    </row>
  </sheetData>
  <autoFilter ref="A2:Q3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174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W42</v>
      </c>
      <c r="B3" s="4" t="n">
        <v>46310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W42</v>
      </c>
      <c r="B4" s="4" t="n">
        <v>46310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W42</v>
      </c>
      <c r="B5" s="4" t="n">
        <v>46310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W42</v>
      </c>
      <c r="B6" s="4" t="n">
        <v>46310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W42</v>
      </c>
      <c r="B7" s="4" t="n">
        <v>46310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W42</v>
      </c>
      <c r="B8" s="4" t="n">
        <v>46310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W42</v>
      </c>
      <c r="B9" s="4" t="n">
        <v>46310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W42</v>
      </c>
      <c r="B10" s="4" t="n">
        <v>46310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W42</v>
      </c>
      <c r="B11" s="4" t="n">
        <v>46310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W42</v>
      </c>
      <c r="B12" s="4" t="n">
        <v>46310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W42</v>
      </c>
      <c r="B13" s="4" t="n">
        <v>46310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W42</v>
      </c>
      <c r="B14" s="4" t="n">
        <v>46310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W42</v>
      </c>
      <c r="B15" s="4" t="n">
        <v>46310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W42</v>
      </c>
      <c r="B16" s="4" t="n">
        <v>46310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W42</v>
      </c>
      <c r="B17" s="4" t="n">
        <v>46310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W42</v>
      </c>
      <c r="B18" s="4" t="n">
        <v>46310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W42</v>
      </c>
      <c r="B19" s="4" t="n">
        <v>46310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W42</v>
      </c>
      <c r="B20" s="4" t="n">
        <v>46310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W42</v>
      </c>
      <c r="B21" s="4" t="n">
        <v>46310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W42</v>
      </c>
      <c r="B22" s="4" t="n">
        <v>46310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W42</v>
      </c>
      <c r="B23" s="9" t="n">
        <v>46310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4</v>
      </c>
      <c r="Q23" s="12" t="n">
        <f aca="false">P23*O23</f>
        <v>32</v>
      </c>
    </row>
    <row r="24" customFormat="false" ht="15" hidden="false" customHeight="false" outlineLevel="0" collapsed="false">
      <c r="A24" s="13" t="str">
        <f aca="false">"W"&amp;WEEKNUM(B24,21)</f>
        <v>W42</v>
      </c>
      <c r="B24" s="14" t="n">
        <v>46310</v>
      </c>
      <c r="C24" s="13"/>
      <c r="D24" s="13"/>
      <c r="E24" s="13"/>
      <c r="F24" s="13"/>
      <c r="G24" s="13" t="s">
        <v>28</v>
      </c>
      <c r="H24" s="13" t="s">
        <v>52</v>
      </c>
      <c r="I24" s="15" t="s">
        <v>53</v>
      </c>
      <c r="J24" s="13" t="s">
        <v>50</v>
      </c>
      <c r="K24" s="15" t="s">
        <v>87</v>
      </c>
      <c r="L24" s="15" t="s">
        <v>175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6</v>
      </c>
      <c r="Q24" s="17" t="n">
        <f aca="false">P24*O24</f>
        <v>27</v>
      </c>
    </row>
    <row r="25" customFormat="false" ht="15" hidden="false" customHeight="false" outlineLevel="0" collapsed="false">
      <c r="A25" s="13" t="str">
        <f aca="false">"W"&amp;WEEKNUM(B25,21)</f>
        <v>W42</v>
      </c>
      <c r="B25" s="14" t="n">
        <v>46310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100</v>
      </c>
      <c r="L25" s="15" t="s">
        <v>176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7</v>
      </c>
      <c r="Q25" s="17" t="n">
        <f aca="false">P25*O25</f>
        <v>31.5</v>
      </c>
    </row>
    <row r="26" customFormat="false" ht="15" hidden="false" customHeight="false" outlineLevel="0" collapsed="false">
      <c r="A26" s="13" t="str">
        <f aca="false">"W"&amp;WEEKNUM(B26,21)</f>
        <v>W42</v>
      </c>
      <c r="B26" s="14" t="n">
        <v>46310</v>
      </c>
      <c r="C26" s="13"/>
      <c r="D26" s="13"/>
      <c r="E26" s="13"/>
      <c r="F26" s="13"/>
      <c r="G26" s="13" t="s">
        <v>72</v>
      </c>
      <c r="H26" s="13" t="s">
        <v>52</v>
      </c>
      <c r="I26" s="15" t="s">
        <v>53</v>
      </c>
      <c r="J26" s="13" t="s">
        <v>50</v>
      </c>
      <c r="K26" s="15" t="s">
        <v>100</v>
      </c>
      <c r="L26" s="15" t="s">
        <v>176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4</v>
      </c>
      <c r="Q26" s="17" t="n">
        <f aca="false">P26*O26</f>
        <v>18</v>
      </c>
    </row>
    <row r="27" customFormat="false" ht="15" hidden="false" customHeight="false" outlineLevel="0" collapsed="false">
      <c r="A27" s="13" t="str">
        <f aca="false">"W"&amp;WEEKNUM(B27,21)</f>
        <v>W42</v>
      </c>
      <c r="B27" s="14" t="n">
        <v>46310</v>
      </c>
      <c r="C27" s="13"/>
      <c r="D27" s="13"/>
      <c r="E27" s="13"/>
      <c r="F27" s="13"/>
      <c r="G27" s="13" t="s">
        <v>25</v>
      </c>
      <c r="H27" s="13" t="s">
        <v>52</v>
      </c>
      <c r="I27" s="15" t="s">
        <v>53</v>
      </c>
      <c r="J27" s="13" t="s">
        <v>50</v>
      </c>
      <c r="K27" s="15" t="s">
        <v>100</v>
      </c>
      <c r="L27" s="15" t="s">
        <v>176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3</v>
      </c>
      <c r="Q27" s="17" t="n">
        <f aca="false">P27*O27</f>
        <v>13.5</v>
      </c>
    </row>
    <row r="28" customFormat="false" ht="15" hidden="false" customHeight="false" outlineLevel="0" collapsed="false">
      <c r="A28" s="13" t="str">
        <f aca="false">"W"&amp;WEEKNUM(B28,21)</f>
        <v>W42</v>
      </c>
      <c r="B28" s="14" t="n">
        <v>46310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113</v>
      </c>
      <c r="L28" s="15" t="s">
        <v>177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6</v>
      </c>
      <c r="Q28" s="17" t="n">
        <f aca="false">P28*O28</f>
        <v>27</v>
      </c>
    </row>
    <row r="29" customFormat="false" ht="15" hidden="false" customHeight="false" outlineLevel="0" collapsed="false">
      <c r="A29" s="13" t="str">
        <f aca="false">"W"&amp;WEEKNUM(B29,21)</f>
        <v>W42</v>
      </c>
      <c r="B29" s="14" t="n">
        <v>46310</v>
      </c>
      <c r="C29" s="13"/>
      <c r="D29" s="13"/>
      <c r="E29" s="13"/>
      <c r="F29" s="13"/>
      <c r="G29" s="13" t="s">
        <v>72</v>
      </c>
      <c r="H29" s="13" t="s">
        <v>52</v>
      </c>
      <c r="I29" s="15" t="s">
        <v>53</v>
      </c>
      <c r="J29" s="13" t="s">
        <v>50</v>
      </c>
      <c r="K29" s="15" t="s">
        <v>113</v>
      </c>
      <c r="L29" s="15" t="s">
        <v>177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W42</v>
      </c>
      <c r="B30" s="14" t="n">
        <v>46310</v>
      </c>
      <c r="C30" s="13"/>
      <c r="D30" s="13"/>
      <c r="E30" s="13"/>
      <c r="F30" s="13"/>
      <c r="G30" s="13" t="s">
        <v>72</v>
      </c>
      <c r="H30" s="13" t="s">
        <v>52</v>
      </c>
      <c r="I30" s="15" t="s">
        <v>53</v>
      </c>
      <c r="J30" s="13" t="s">
        <v>50</v>
      </c>
      <c r="K30" s="15" t="s">
        <v>127</v>
      </c>
      <c r="L30" s="15" t="s">
        <v>178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1</v>
      </c>
      <c r="Q30" s="17" t="n">
        <f aca="false">P30*O30</f>
        <v>4.5</v>
      </c>
    </row>
    <row r="31" customFormat="false" ht="15" hidden="false" customHeight="false" outlineLevel="0" collapsed="false">
      <c r="A31" s="13" t="str">
        <f aca="false">"W"&amp;WEEKNUM(B31,21)</f>
        <v>W42</v>
      </c>
      <c r="B31" s="14" t="n">
        <v>46310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127</v>
      </c>
      <c r="L31" s="15" t="s">
        <v>178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3</v>
      </c>
      <c r="Q31" s="17" t="n">
        <f aca="false">P31*O31</f>
        <v>13.5</v>
      </c>
    </row>
    <row r="32" customFormat="false" ht="15" hidden="false" customHeight="false" outlineLevel="0" collapsed="false">
      <c r="A32" s="13" t="str">
        <f aca="false">"W"&amp;WEEKNUM(B32,21)</f>
        <v>W42</v>
      </c>
      <c r="B32" s="14" t="n">
        <v>46310</v>
      </c>
      <c r="C32" s="13"/>
      <c r="D32" s="13"/>
      <c r="E32" s="13"/>
      <c r="F32" s="13"/>
      <c r="G32" s="13" t="s">
        <v>28</v>
      </c>
      <c r="H32" s="13" t="s">
        <v>52</v>
      </c>
      <c r="I32" s="15" t="s">
        <v>53</v>
      </c>
      <c r="J32" s="13" t="s">
        <v>50</v>
      </c>
      <c r="K32" s="15" t="s">
        <v>164</v>
      </c>
      <c r="L32" s="15" t="s">
        <v>179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2</v>
      </c>
      <c r="Q32" s="17" t="n">
        <f aca="false">P32*O32</f>
        <v>9</v>
      </c>
    </row>
    <row r="33" customFormat="false" ht="15" hidden="false" customHeight="false" outlineLevel="0" collapsed="false">
      <c r="A33" s="13" t="str">
        <f aca="false">"W"&amp;WEEKNUM(B33,21)</f>
        <v>W42</v>
      </c>
      <c r="B33" s="14" t="n">
        <v>46310</v>
      </c>
      <c r="C33" s="13"/>
      <c r="D33" s="13"/>
      <c r="E33" s="13"/>
      <c r="F33" s="13"/>
      <c r="G33" s="13" t="s">
        <v>72</v>
      </c>
      <c r="H33" s="13" t="s">
        <v>52</v>
      </c>
      <c r="I33" s="15" t="s">
        <v>53</v>
      </c>
      <c r="J33" s="13" t="s">
        <v>50</v>
      </c>
      <c r="K33" s="15" t="s">
        <v>164</v>
      </c>
      <c r="L33" s="15" t="s">
        <v>179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1</v>
      </c>
      <c r="Q33" s="17" t="n">
        <f aca="false">P33*O33</f>
        <v>4.5</v>
      </c>
    </row>
    <row r="34" customFormat="false" ht="15" hidden="false" customHeight="false" outlineLevel="0" collapsed="false">
      <c r="A34" s="13" t="str">
        <f aca="false">"W"&amp;WEEKNUM(B34,21)</f>
        <v>W42</v>
      </c>
      <c r="B34" s="14" t="n">
        <v>46310</v>
      </c>
      <c r="C34" s="13"/>
      <c r="D34" s="13"/>
      <c r="E34" s="13"/>
      <c r="F34" s="13"/>
      <c r="G34" s="13" t="s">
        <v>28</v>
      </c>
      <c r="H34" s="13" t="s">
        <v>52</v>
      </c>
      <c r="I34" s="15" t="s">
        <v>53</v>
      </c>
      <c r="J34" s="13" t="s">
        <v>50</v>
      </c>
      <c r="K34" s="15" t="s">
        <v>172</v>
      </c>
      <c r="L34" s="15" t="s">
        <v>180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2</v>
      </c>
      <c r="Q34" s="17" t="n">
        <f aca="false">P34*O34</f>
        <v>9</v>
      </c>
    </row>
    <row r="35" customFormat="false" ht="15" hidden="false" customHeight="false" outlineLevel="0" collapsed="false">
      <c r="A35" s="13" t="str">
        <f aca="false">"W"&amp;WEEKNUM(B35,21)</f>
        <v>W42</v>
      </c>
      <c r="B35" s="14" t="n">
        <v>46310</v>
      </c>
      <c r="C35" s="13"/>
      <c r="D35" s="13"/>
      <c r="E35" s="13"/>
      <c r="F35" s="13"/>
      <c r="G35" s="13" t="s">
        <v>72</v>
      </c>
      <c r="H35" s="13" t="s">
        <v>52</v>
      </c>
      <c r="I35" s="15" t="s">
        <v>53</v>
      </c>
      <c r="J35" s="13" t="s">
        <v>50</v>
      </c>
      <c r="K35" s="15" t="s">
        <v>172</v>
      </c>
      <c r="L35" s="15" t="s">
        <v>180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4</v>
      </c>
      <c r="Q35" s="17" t="n">
        <f aca="false">P35*O35</f>
        <v>18</v>
      </c>
    </row>
    <row r="36" customFormat="false" ht="15" hidden="false" customHeight="false" outlineLevel="0" collapsed="false">
      <c r="A36" s="13" t="str">
        <f aca="false">"W"&amp;WEEKNUM(B36,21)</f>
        <v>W42</v>
      </c>
      <c r="B36" s="14" t="n">
        <v>46310</v>
      </c>
      <c r="C36" s="13"/>
      <c r="D36" s="13"/>
      <c r="E36" s="13"/>
      <c r="F36" s="13"/>
      <c r="G36" s="13" t="s">
        <v>25</v>
      </c>
      <c r="H36" s="13" t="s">
        <v>52</v>
      </c>
      <c r="I36" s="15" t="s">
        <v>53</v>
      </c>
      <c r="J36" s="13" t="s">
        <v>50</v>
      </c>
      <c r="K36" s="15" t="s">
        <v>172</v>
      </c>
      <c r="L36" s="15" t="s">
        <v>180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W42</v>
      </c>
      <c r="B37" s="14" t="n">
        <v>46310</v>
      </c>
      <c r="C37" s="13"/>
      <c r="D37" s="13"/>
      <c r="E37" s="13"/>
      <c r="F37" s="13"/>
      <c r="G37" s="13" t="s">
        <v>28</v>
      </c>
      <c r="H37" s="13" t="s">
        <v>52</v>
      </c>
      <c r="I37" s="15" t="s">
        <v>53</v>
      </c>
      <c r="J37" s="13" t="s">
        <v>50</v>
      </c>
      <c r="K37" s="15" t="s">
        <v>181</v>
      </c>
      <c r="L37" s="15" t="s">
        <v>182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1</v>
      </c>
      <c r="Q37" s="17" t="n">
        <f aca="false">P37*O37</f>
        <v>4.5</v>
      </c>
    </row>
    <row r="38" customFormat="false" ht="15" hidden="false" customHeight="false" outlineLevel="0" collapsed="false">
      <c r="P38" s="18" t="s">
        <v>75</v>
      </c>
      <c r="Q38" s="19" t="n">
        <f aca="false">SUM(Q3:Q37)</f>
        <v>497.5</v>
      </c>
    </row>
    <row r="40" customFormat="false" ht="15" hidden="false" customHeight="false" outlineLevel="0" collapsed="false">
      <c r="A40" s="20" t="s">
        <v>76</v>
      </c>
    </row>
  </sheetData>
  <autoFilter ref="A2:Q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183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W42</v>
      </c>
      <c r="B3" s="4" t="n">
        <v>46311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W42</v>
      </c>
      <c r="B4" s="4" t="n">
        <v>46311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W42</v>
      </c>
      <c r="B5" s="4" t="n">
        <v>46311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W42</v>
      </c>
      <c r="B6" s="4" t="n">
        <v>46311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W42</v>
      </c>
      <c r="B7" s="4" t="n">
        <v>46311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W42</v>
      </c>
      <c r="B8" s="4" t="n">
        <v>46311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W42</v>
      </c>
      <c r="B9" s="4" t="n">
        <v>46311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W42</v>
      </c>
      <c r="B10" s="4" t="n">
        <v>46311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W42</v>
      </c>
      <c r="B11" s="4" t="n">
        <v>46311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W42</v>
      </c>
      <c r="B12" s="4" t="n">
        <v>46311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W42</v>
      </c>
      <c r="B13" s="4" t="n">
        <v>46311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W42</v>
      </c>
      <c r="B14" s="4" t="n">
        <v>46311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W42</v>
      </c>
      <c r="B15" s="4" t="n">
        <v>46311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W42</v>
      </c>
      <c r="B16" s="4" t="n">
        <v>46311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W42</v>
      </c>
      <c r="B17" s="4" t="n">
        <v>46311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W42</v>
      </c>
      <c r="B18" s="4" t="n">
        <v>46311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W42</v>
      </c>
      <c r="B19" s="4" t="n">
        <v>46311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W42</v>
      </c>
      <c r="B20" s="4" t="n">
        <v>46311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W42</v>
      </c>
      <c r="B21" s="4" t="n">
        <v>46311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W42</v>
      </c>
      <c r="B22" s="4" t="n">
        <v>46311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W42</v>
      </c>
      <c r="B23" s="9" t="n">
        <v>46311</v>
      </c>
      <c r="C23" s="8"/>
      <c r="D23" s="8"/>
      <c r="E23" s="8"/>
      <c r="F23" s="8"/>
      <c r="G23" s="8" t="s">
        <v>184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1</v>
      </c>
      <c r="Q23" s="12" t="n">
        <f aca="false">P23*O23</f>
        <v>8</v>
      </c>
    </row>
    <row r="24" customFormat="false" ht="15" hidden="false" customHeight="false" outlineLevel="0" collapsed="false">
      <c r="A24" s="13" t="str">
        <f aca="false">"W"&amp;WEEKNUM(B24,21)</f>
        <v>W42</v>
      </c>
      <c r="B24" s="14" t="n">
        <v>46311</v>
      </c>
      <c r="C24" s="13"/>
      <c r="D24" s="13"/>
      <c r="E24" s="13"/>
      <c r="F24" s="13"/>
      <c r="G24" s="13" t="s">
        <v>28</v>
      </c>
      <c r="H24" s="13" t="s">
        <v>52</v>
      </c>
      <c r="I24" s="15" t="s">
        <v>53</v>
      </c>
      <c r="J24" s="13" t="s">
        <v>50</v>
      </c>
      <c r="K24" s="15" t="s">
        <v>87</v>
      </c>
      <c r="L24" s="15" t="s">
        <v>185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6</v>
      </c>
      <c r="Q24" s="17" t="n">
        <f aca="false">P24*O24</f>
        <v>27</v>
      </c>
    </row>
    <row r="25" customFormat="false" ht="15" hidden="false" customHeight="false" outlineLevel="0" collapsed="false">
      <c r="A25" s="13" t="str">
        <f aca="false">"W"&amp;WEEKNUM(B25,21)</f>
        <v>W42</v>
      </c>
      <c r="B25" s="14" t="n">
        <v>46311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100</v>
      </c>
      <c r="L25" s="15" t="s">
        <v>186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7</v>
      </c>
      <c r="Q25" s="17" t="n">
        <f aca="false">P25*O25</f>
        <v>31.5</v>
      </c>
    </row>
    <row r="26" customFormat="false" ht="15" hidden="false" customHeight="false" outlineLevel="0" collapsed="false">
      <c r="A26" s="13" t="str">
        <f aca="false">"W"&amp;WEEKNUM(B26,21)</f>
        <v>W42</v>
      </c>
      <c r="B26" s="14" t="n">
        <v>46311</v>
      </c>
      <c r="C26" s="13"/>
      <c r="D26" s="13"/>
      <c r="E26" s="13"/>
      <c r="F26" s="13"/>
      <c r="G26" s="13" t="s">
        <v>72</v>
      </c>
      <c r="H26" s="13" t="s">
        <v>52</v>
      </c>
      <c r="I26" s="15" t="s">
        <v>53</v>
      </c>
      <c r="J26" s="13" t="s">
        <v>50</v>
      </c>
      <c r="K26" s="15" t="s">
        <v>100</v>
      </c>
      <c r="L26" s="15" t="s">
        <v>186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4</v>
      </c>
      <c r="Q26" s="17" t="n">
        <f aca="false">P26*O26</f>
        <v>18</v>
      </c>
    </row>
    <row r="27" customFormat="false" ht="15" hidden="false" customHeight="false" outlineLevel="0" collapsed="false">
      <c r="A27" s="13" t="str">
        <f aca="false">"W"&amp;WEEKNUM(B27,21)</f>
        <v>W42</v>
      </c>
      <c r="B27" s="14" t="n">
        <v>46311</v>
      </c>
      <c r="C27" s="13"/>
      <c r="D27" s="13"/>
      <c r="E27" s="13"/>
      <c r="F27" s="13"/>
      <c r="G27" s="13" t="s">
        <v>25</v>
      </c>
      <c r="H27" s="13" t="s">
        <v>52</v>
      </c>
      <c r="I27" s="15" t="s">
        <v>53</v>
      </c>
      <c r="J27" s="13" t="s">
        <v>50</v>
      </c>
      <c r="K27" s="15" t="s">
        <v>100</v>
      </c>
      <c r="L27" s="15" t="s">
        <v>186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3</v>
      </c>
      <c r="Q27" s="17" t="n">
        <f aca="false">P27*O27</f>
        <v>13.5</v>
      </c>
    </row>
    <row r="28" customFormat="false" ht="15" hidden="false" customHeight="false" outlineLevel="0" collapsed="false">
      <c r="A28" s="13" t="str">
        <f aca="false">"W"&amp;WEEKNUM(B28,21)</f>
        <v>W42</v>
      </c>
      <c r="B28" s="14" t="n">
        <v>46311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113</v>
      </c>
      <c r="L28" s="15" t="s">
        <v>187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6</v>
      </c>
      <c r="Q28" s="17" t="n">
        <f aca="false">P28*O28</f>
        <v>27</v>
      </c>
    </row>
    <row r="29" customFormat="false" ht="15" hidden="false" customHeight="false" outlineLevel="0" collapsed="false">
      <c r="A29" s="13" t="str">
        <f aca="false">"W"&amp;WEEKNUM(B29,21)</f>
        <v>W42</v>
      </c>
      <c r="B29" s="14" t="n">
        <v>46311</v>
      </c>
      <c r="C29" s="13"/>
      <c r="D29" s="13"/>
      <c r="E29" s="13"/>
      <c r="F29" s="13"/>
      <c r="G29" s="13" t="s">
        <v>72</v>
      </c>
      <c r="H29" s="13" t="s">
        <v>52</v>
      </c>
      <c r="I29" s="15" t="s">
        <v>53</v>
      </c>
      <c r="J29" s="13" t="s">
        <v>50</v>
      </c>
      <c r="K29" s="15" t="s">
        <v>113</v>
      </c>
      <c r="L29" s="15" t="s">
        <v>187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W42</v>
      </c>
      <c r="B30" s="14" t="n">
        <v>46311</v>
      </c>
      <c r="C30" s="13"/>
      <c r="D30" s="13"/>
      <c r="E30" s="13"/>
      <c r="F30" s="13"/>
      <c r="G30" s="13" t="s">
        <v>72</v>
      </c>
      <c r="H30" s="13" t="s">
        <v>52</v>
      </c>
      <c r="I30" s="15" t="s">
        <v>53</v>
      </c>
      <c r="J30" s="13" t="s">
        <v>50</v>
      </c>
      <c r="K30" s="15" t="s">
        <v>127</v>
      </c>
      <c r="L30" s="15" t="s">
        <v>188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1</v>
      </c>
      <c r="Q30" s="17" t="n">
        <f aca="false">P30*O30</f>
        <v>4.5</v>
      </c>
    </row>
    <row r="31" customFormat="false" ht="15" hidden="false" customHeight="false" outlineLevel="0" collapsed="false">
      <c r="A31" s="13" t="str">
        <f aca="false">"W"&amp;WEEKNUM(B31,21)</f>
        <v>W42</v>
      </c>
      <c r="B31" s="14" t="n">
        <v>46311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127</v>
      </c>
      <c r="L31" s="15" t="s">
        <v>188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3</v>
      </c>
      <c r="Q31" s="17" t="n">
        <f aca="false">P31*O31</f>
        <v>13.5</v>
      </c>
    </row>
    <row r="32" customFormat="false" ht="15" hidden="false" customHeight="false" outlineLevel="0" collapsed="false">
      <c r="A32" s="13" t="str">
        <f aca="false">"W"&amp;WEEKNUM(B32,21)</f>
        <v>W42</v>
      </c>
      <c r="B32" s="14" t="n">
        <v>46311</v>
      </c>
      <c r="C32" s="13"/>
      <c r="D32" s="13"/>
      <c r="E32" s="13"/>
      <c r="F32" s="13"/>
      <c r="G32" s="13" t="s">
        <v>28</v>
      </c>
      <c r="H32" s="13" t="s">
        <v>52</v>
      </c>
      <c r="I32" s="15" t="s">
        <v>53</v>
      </c>
      <c r="J32" s="13" t="s">
        <v>50</v>
      </c>
      <c r="K32" s="15" t="s">
        <v>164</v>
      </c>
      <c r="L32" s="15" t="s">
        <v>189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2</v>
      </c>
      <c r="Q32" s="17" t="n">
        <f aca="false">P32*O32</f>
        <v>9</v>
      </c>
    </row>
    <row r="33" customFormat="false" ht="15" hidden="false" customHeight="false" outlineLevel="0" collapsed="false">
      <c r="A33" s="13" t="str">
        <f aca="false">"W"&amp;WEEKNUM(B33,21)</f>
        <v>W42</v>
      </c>
      <c r="B33" s="14" t="n">
        <v>46311</v>
      </c>
      <c r="C33" s="13"/>
      <c r="D33" s="13"/>
      <c r="E33" s="13"/>
      <c r="F33" s="13"/>
      <c r="G33" s="13" t="s">
        <v>72</v>
      </c>
      <c r="H33" s="13" t="s">
        <v>52</v>
      </c>
      <c r="I33" s="15" t="s">
        <v>53</v>
      </c>
      <c r="J33" s="13" t="s">
        <v>50</v>
      </c>
      <c r="K33" s="15" t="s">
        <v>164</v>
      </c>
      <c r="L33" s="15" t="s">
        <v>189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1</v>
      </c>
      <c r="Q33" s="17" t="n">
        <f aca="false">P33*O33</f>
        <v>4.5</v>
      </c>
    </row>
    <row r="34" customFormat="false" ht="15" hidden="false" customHeight="false" outlineLevel="0" collapsed="false">
      <c r="A34" s="13" t="str">
        <f aca="false">"W"&amp;WEEKNUM(B34,21)</f>
        <v>W42</v>
      </c>
      <c r="B34" s="14" t="n">
        <v>46311</v>
      </c>
      <c r="C34" s="13"/>
      <c r="D34" s="13"/>
      <c r="E34" s="13"/>
      <c r="F34" s="13"/>
      <c r="G34" s="13" t="s">
        <v>28</v>
      </c>
      <c r="H34" s="13" t="s">
        <v>52</v>
      </c>
      <c r="I34" s="15" t="s">
        <v>53</v>
      </c>
      <c r="J34" s="13" t="s">
        <v>50</v>
      </c>
      <c r="K34" s="15" t="s">
        <v>172</v>
      </c>
      <c r="L34" s="15" t="s">
        <v>190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2</v>
      </c>
      <c r="Q34" s="17" t="n">
        <f aca="false">P34*O34</f>
        <v>9</v>
      </c>
    </row>
    <row r="35" customFormat="false" ht="15" hidden="false" customHeight="false" outlineLevel="0" collapsed="false">
      <c r="A35" s="13" t="str">
        <f aca="false">"W"&amp;WEEKNUM(B35,21)</f>
        <v>W42</v>
      </c>
      <c r="B35" s="14" t="n">
        <v>46311</v>
      </c>
      <c r="C35" s="13"/>
      <c r="D35" s="13"/>
      <c r="E35" s="13"/>
      <c r="F35" s="13"/>
      <c r="G35" s="13" t="s">
        <v>72</v>
      </c>
      <c r="H35" s="13" t="s">
        <v>52</v>
      </c>
      <c r="I35" s="15" t="s">
        <v>53</v>
      </c>
      <c r="J35" s="13" t="s">
        <v>50</v>
      </c>
      <c r="K35" s="15" t="s">
        <v>172</v>
      </c>
      <c r="L35" s="15" t="s">
        <v>190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4</v>
      </c>
      <c r="Q35" s="17" t="n">
        <f aca="false">P35*O35</f>
        <v>18</v>
      </c>
    </row>
    <row r="36" customFormat="false" ht="15" hidden="false" customHeight="false" outlineLevel="0" collapsed="false">
      <c r="A36" s="13" t="str">
        <f aca="false">"W"&amp;WEEKNUM(B36,21)</f>
        <v>W42</v>
      </c>
      <c r="B36" s="14" t="n">
        <v>46311</v>
      </c>
      <c r="C36" s="13"/>
      <c r="D36" s="13"/>
      <c r="E36" s="13"/>
      <c r="F36" s="13"/>
      <c r="G36" s="13" t="s">
        <v>25</v>
      </c>
      <c r="H36" s="13" t="s">
        <v>52</v>
      </c>
      <c r="I36" s="15" t="s">
        <v>53</v>
      </c>
      <c r="J36" s="13" t="s">
        <v>50</v>
      </c>
      <c r="K36" s="15" t="s">
        <v>172</v>
      </c>
      <c r="L36" s="15" t="s">
        <v>190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W42</v>
      </c>
      <c r="B37" s="14" t="n">
        <v>46311</v>
      </c>
      <c r="C37" s="13"/>
      <c r="D37" s="13"/>
      <c r="E37" s="13"/>
      <c r="F37" s="13"/>
      <c r="G37" s="13" t="s">
        <v>28</v>
      </c>
      <c r="H37" s="13" t="s">
        <v>52</v>
      </c>
      <c r="I37" s="15" t="s">
        <v>53</v>
      </c>
      <c r="J37" s="13" t="s">
        <v>50</v>
      </c>
      <c r="K37" s="15" t="s">
        <v>181</v>
      </c>
      <c r="L37" s="15" t="s">
        <v>191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1</v>
      </c>
      <c r="Q37" s="17" t="n">
        <f aca="false">P37*O37</f>
        <v>4.5</v>
      </c>
    </row>
    <row r="38" customFormat="false" ht="15" hidden="false" customHeight="false" outlineLevel="0" collapsed="false">
      <c r="A38" s="13" t="str">
        <f aca="false">"W"&amp;WEEKNUM(B38,21)</f>
        <v>W42</v>
      </c>
      <c r="B38" s="14" t="n">
        <v>46311</v>
      </c>
      <c r="C38" s="13"/>
      <c r="D38" s="13"/>
      <c r="E38" s="13"/>
      <c r="F38" s="13"/>
      <c r="G38" s="13" t="s">
        <v>28</v>
      </c>
      <c r="H38" s="13" t="s">
        <v>52</v>
      </c>
      <c r="I38" s="15" t="s">
        <v>53</v>
      </c>
      <c r="J38" s="13" t="s">
        <v>50</v>
      </c>
      <c r="K38" s="15" t="s">
        <v>192</v>
      </c>
      <c r="L38" s="15" t="s">
        <v>193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4</v>
      </c>
      <c r="Q38" s="17" t="n">
        <f aca="false">P38*O38</f>
        <v>18</v>
      </c>
    </row>
    <row r="39" customFormat="false" ht="15" hidden="false" customHeight="false" outlineLevel="0" collapsed="false">
      <c r="P39" s="18" t="s">
        <v>75</v>
      </c>
      <c r="Q39" s="19" t="n">
        <f aca="false">SUM(Q3:Q38)</f>
        <v>491.5</v>
      </c>
    </row>
    <row r="41" customFormat="false" ht="15" hidden="false" customHeight="false" outlineLevel="0" collapsed="false">
      <c r="A41" s="20" t="s">
        <v>76</v>
      </c>
    </row>
  </sheetData>
  <autoFilter ref="A2:Q3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194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W42</v>
      </c>
      <c r="B3" s="4" t="n">
        <v>46312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W42</v>
      </c>
      <c r="B4" s="4" t="n">
        <v>46312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W42</v>
      </c>
      <c r="B5" s="4" t="n">
        <v>46312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W42</v>
      </c>
      <c r="B6" s="4" t="n">
        <v>46312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W42</v>
      </c>
      <c r="B7" s="4" t="n">
        <v>46312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0.645833333333333</v>
      </c>
      <c r="O7" s="7" t="n">
        <f aca="false">(N7-M7)*24</f>
        <v>8</v>
      </c>
      <c r="P7" s="3" t="n">
        <v>2</v>
      </c>
      <c r="Q7" s="7" t="n">
        <f aca="false">P7*O7</f>
        <v>16</v>
      </c>
    </row>
    <row r="8" customFormat="false" ht="15" hidden="false" customHeight="false" outlineLevel="0" collapsed="false">
      <c r="A8" s="3" t="str">
        <f aca="false">"W"&amp;WEEKNUM(B8,21)</f>
        <v>W42</v>
      </c>
      <c r="B8" s="4" t="n">
        <v>46312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0.645833333333333</v>
      </c>
      <c r="O8" s="7" t="n">
        <f aca="false">(N8-M8)*24</f>
        <v>8</v>
      </c>
      <c r="P8" s="3" t="n">
        <v>4</v>
      </c>
      <c r="Q8" s="7" t="n">
        <f aca="false">P8*O8</f>
        <v>32</v>
      </c>
    </row>
    <row r="9" customFormat="false" ht="15" hidden="false" customHeight="false" outlineLevel="0" collapsed="false">
      <c r="A9" s="3" t="str">
        <f aca="false">"W"&amp;WEEKNUM(B9,21)</f>
        <v>W42</v>
      </c>
      <c r="B9" s="4" t="n">
        <v>46312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0.645833333333333</v>
      </c>
      <c r="O9" s="7" t="n">
        <f aca="false">(N9-M9)*24</f>
        <v>8</v>
      </c>
      <c r="P9" s="3" t="n">
        <v>1</v>
      </c>
      <c r="Q9" s="7" t="n">
        <f aca="false">P9*O9</f>
        <v>8</v>
      </c>
    </row>
    <row r="10" customFormat="false" ht="15" hidden="false" customHeight="false" outlineLevel="0" collapsed="false">
      <c r="A10" s="3" t="str">
        <f aca="false">"W"&amp;WEEKNUM(B10,21)</f>
        <v>W42</v>
      </c>
      <c r="B10" s="4" t="n">
        <v>46312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0.645833333333333</v>
      </c>
      <c r="O10" s="7" t="n">
        <f aca="false">(N10-M10)*24</f>
        <v>8</v>
      </c>
      <c r="P10" s="3" t="n">
        <v>1</v>
      </c>
      <c r="Q10" s="7" t="n">
        <f aca="false">P10*O10</f>
        <v>8</v>
      </c>
    </row>
    <row r="11" customFormat="false" ht="15" hidden="false" customHeight="false" outlineLevel="0" collapsed="false">
      <c r="A11" s="3" t="str">
        <f aca="false">"W"&amp;WEEKNUM(B11,21)</f>
        <v>W42</v>
      </c>
      <c r="B11" s="4" t="n">
        <v>46312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0.645833333333333</v>
      </c>
      <c r="O11" s="7" t="n">
        <f aca="false">(N11-M11)*24</f>
        <v>8</v>
      </c>
      <c r="P11" s="3" t="n">
        <v>1</v>
      </c>
      <c r="Q11" s="7" t="n">
        <f aca="false">P11*O11</f>
        <v>8</v>
      </c>
    </row>
    <row r="12" customFormat="false" ht="15" hidden="false" customHeight="false" outlineLevel="0" collapsed="false">
      <c r="A12" s="3" t="str">
        <f aca="false">"W"&amp;WEEKNUM(B12,21)</f>
        <v>W42</v>
      </c>
      <c r="B12" s="4" t="n">
        <v>46312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0.645833333333333</v>
      </c>
      <c r="O12" s="7" t="n">
        <f aca="false">(N12-M12)*24</f>
        <v>8</v>
      </c>
      <c r="P12" s="3" t="n">
        <v>1</v>
      </c>
      <c r="Q12" s="7" t="n">
        <f aca="false">P12*O12</f>
        <v>8</v>
      </c>
    </row>
    <row r="13" customFormat="false" ht="15" hidden="false" customHeight="false" outlineLevel="0" collapsed="false">
      <c r="A13" s="3" t="str">
        <f aca="false">"W"&amp;WEEKNUM(B13,21)</f>
        <v>W42</v>
      </c>
      <c r="B13" s="4" t="n">
        <v>46312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0.645833333333333</v>
      </c>
      <c r="O13" s="7" t="n">
        <f aca="false">(N13-M13)*24</f>
        <v>8</v>
      </c>
      <c r="P13" s="3" t="n">
        <v>1</v>
      </c>
      <c r="Q13" s="7" t="n">
        <f aca="false">P13*O13</f>
        <v>8</v>
      </c>
    </row>
    <row r="14" customFormat="false" ht="15" hidden="false" customHeight="false" outlineLevel="0" collapsed="false">
      <c r="A14" s="3" t="str">
        <f aca="false">"W"&amp;WEEKNUM(B14,21)</f>
        <v>W42</v>
      </c>
      <c r="B14" s="4" t="n">
        <v>46312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0.645833333333333</v>
      </c>
      <c r="O14" s="7" t="n">
        <f aca="false">(N14-M14)*24</f>
        <v>8</v>
      </c>
      <c r="P14" s="3" t="n">
        <v>1</v>
      </c>
      <c r="Q14" s="7" t="n">
        <f aca="false">P14*O14</f>
        <v>8</v>
      </c>
    </row>
    <row r="15" customFormat="false" ht="15" hidden="false" customHeight="false" outlineLevel="0" collapsed="false">
      <c r="A15" s="3" t="str">
        <f aca="false">"W"&amp;WEEKNUM(B15,21)</f>
        <v>W42</v>
      </c>
      <c r="B15" s="4" t="n">
        <v>46312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0.645833333333333</v>
      </c>
      <c r="O15" s="7" t="n">
        <f aca="false">(N15-M15)*24</f>
        <v>8</v>
      </c>
      <c r="P15" s="3" t="n">
        <v>1</v>
      </c>
      <c r="Q15" s="7" t="n">
        <f aca="false">P15*O15</f>
        <v>8</v>
      </c>
    </row>
    <row r="16" customFormat="false" ht="15" hidden="false" customHeight="false" outlineLevel="0" collapsed="false">
      <c r="A16" s="3" t="str">
        <f aca="false">"W"&amp;WEEKNUM(B16,21)</f>
        <v>W42</v>
      </c>
      <c r="B16" s="4" t="n">
        <v>46312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0.645833333333333</v>
      </c>
      <c r="O16" s="7" t="n">
        <f aca="false">(N16-M16)*24</f>
        <v>8</v>
      </c>
      <c r="P16" s="3" t="n">
        <v>1</v>
      </c>
      <c r="Q16" s="7" t="n">
        <f aca="false">P16*O16</f>
        <v>8</v>
      </c>
    </row>
    <row r="17" customFormat="false" ht="15" hidden="false" customHeight="false" outlineLevel="0" collapsed="false">
      <c r="A17" s="3" t="str">
        <f aca="false">"W"&amp;WEEKNUM(B17,21)</f>
        <v>W42</v>
      </c>
      <c r="B17" s="4" t="n">
        <v>46312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0.645833333333333</v>
      </c>
      <c r="O17" s="7" t="n">
        <f aca="false">(N17-M17)*24</f>
        <v>8</v>
      </c>
      <c r="P17" s="3" t="n">
        <v>1</v>
      </c>
      <c r="Q17" s="7" t="n">
        <f aca="false">P17*O17</f>
        <v>8</v>
      </c>
    </row>
    <row r="18" customFormat="false" ht="15" hidden="false" customHeight="false" outlineLevel="0" collapsed="false">
      <c r="A18" s="3" t="str">
        <f aca="false">"W"&amp;WEEKNUM(B18,21)</f>
        <v>W42</v>
      </c>
      <c r="B18" s="4" t="n">
        <v>46312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0.645833333333333</v>
      </c>
      <c r="O18" s="7" t="n">
        <f aca="false">(N18-M18)*24</f>
        <v>8</v>
      </c>
      <c r="P18" s="3" t="n">
        <v>1</v>
      </c>
      <c r="Q18" s="7" t="n">
        <f aca="false">P18*O18</f>
        <v>8</v>
      </c>
    </row>
    <row r="19" customFormat="false" ht="15" hidden="false" customHeight="false" outlineLevel="0" collapsed="false">
      <c r="A19" s="3" t="str">
        <f aca="false">"W"&amp;WEEKNUM(B19,21)</f>
        <v>W42</v>
      </c>
      <c r="B19" s="4" t="n">
        <v>46312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0.645833333333333</v>
      </c>
      <c r="O19" s="7" t="n">
        <f aca="false">(N19-M19)*24</f>
        <v>8</v>
      </c>
      <c r="P19" s="3" t="n">
        <v>1</v>
      </c>
      <c r="Q19" s="7" t="n">
        <f aca="false">P19*O19</f>
        <v>8</v>
      </c>
    </row>
    <row r="20" customFormat="false" ht="15" hidden="false" customHeight="false" outlineLevel="0" collapsed="false">
      <c r="A20" s="3" t="str">
        <f aca="false">"W"&amp;WEEKNUM(B20,21)</f>
        <v>W42</v>
      </c>
      <c r="B20" s="4" t="n">
        <v>46312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0.645833333333333</v>
      </c>
      <c r="O20" s="7" t="n">
        <f aca="false">(N20-M20)*24</f>
        <v>8</v>
      </c>
      <c r="P20" s="3" t="n">
        <v>1</v>
      </c>
      <c r="Q20" s="7" t="n">
        <f aca="false">P20*O20</f>
        <v>8</v>
      </c>
    </row>
    <row r="21" customFormat="false" ht="15" hidden="false" customHeight="false" outlineLevel="0" collapsed="false">
      <c r="A21" s="3" t="str">
        <f aca="false">"W"&amp;WEEKNUM(B21,21)</f>
        <v>W42</v>
      </c>
      <c r="B21" s="4" t="n">
        <v>46312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0.645833333333333</v>
      </c>
      <c r="O21" s="7" t="n">
        <f aca="false">(N21-M21)*24</f>
        <v>8</v>
      </c>
      <c r="P21" s="3" t="n">
        <v>1</v>
      </c>
      <c r="Q21" s="7" t="n">
        <f aca="false">P21*O21</f>
        <v>8</v>
      </c>
    </row>
    <row r="22" customFormat="false" ht="15" hidden="false" customHeight="false" outlineLevel="0" collapsed="false">
      <c r="A22" s="3" t="str">
        <f aca="false">"W"&amp;WEEKNUM(B22,21)</f>
        <v>W42</v>
      </c>
      <c r="B22" s="4" t="n">
        <v>46312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0.645833333333333</v>
      </c>
      <c r="O22" s="7" t="n">
        <f aca="false">(N22-M22)*24</f>
        <v>8</v>
      </c>
      <c r="P22" s="3" t="n">
        <v>1</v>
      </c>
      <c r="Q22" s="7" t="n">
        <f aca="false">P22*O22</f>
        <v>8</v>
      </c>
    </row>
    <row r="23" customFormat="false" ht="15" hidden="false" customHeight="false" outlineLevel="0" collapsed="false">
      <c r="A23" s="13" t="str">
        <f aca="false">"W"&amp;WEEKNUM(B23,21)</f>
        <v>W42</v>
      </c>
      <c r="B23" s="14" t="n">
        <v>46312</v>
      </c>
      <c r="C23" s="13"/>
      <c r="D23" s="13"/>
      <c r="E23" s="13"/>
      <c r="F23" s="13"/>
      <c r="G23" s="13" t="s">
        <v>28</v>
      </c>
      <c r="H23" s="13" t="s">
        <v>52</v>
      </c>
      <c r="I23" s="15" t="s">
        <v>53</v>
      </c>
      <c r="J23" s="13" t="s">
        <v>50</v>
      </c>
      <c r="K23" s="15" t="s">
        <v>87</v>
      </c>
      <c r="L23" s="15" t="s">
        <v>195</v>
      </c>
      <c r="M23" s="16" t="n">
        <v>0.3125</v>
      </c>
      <c r="N23" s="16" t="n">
        <v>0.5</v>
      </c>
      <c r="O23" s="17" t="n">
        <f aca="false">(N23-M23)*24</f>
        <v>4.5</v>
      </c>
      <c r="P23" s="13" t="n">
        <v>6</v>
      </c>
      <c r="Q23" s="17" t="n">
        <f aca="false">P23*O23</f>
        <v>27</v>
      </c>
    </row>
    <row r="24" customFormat="false" ht="15" hidden="false" customHeight="false" outlineLevel="0" collapsed="false">
      <c r="A24" s="13" t="str">
        <f aca="false">"W"&amp;WEEKNUM(B24,21)</f>
        <v>W42</v>
      </c>
      <c r="B24" s="14" t="n">
        <v>46312</v>
      </c>
      <c r="C24" s="13"/>
      <c r="D24" s="13"/>
      <c r="E24" s="13"/>
      <c r="F24" s="13"/>
      <c r="G24" s="13" t="s">
        <v>28</v>
      </c>
      <c r="H24" s="13" t="s">
        <v>52</v>
      </c>
      <c r="I24" s="15" t="s">
        <v>53</v>
      </c>
      <c r="J24" s="13" t="s">
        <v>50</v>
      </c>
      <c r="K24" s="15" t="s">
        <v>100</v>
      </c>
      <c r="L24" s="15" t="s">
        <v>196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7</v>
      </c>
      <c r="Q24" s="17" t="n">
        <f aca="false">P24*O24</f>
        <v>31.5</v>
      </c>
    </row>
    <row r="25" customFormat="false" ht="15" hidden="false" customHeight="false" outlineLevel="0" collapsed="false">
      <c r="A25" s="13" t="str">
        <f aca="false">"W"&amp;WEEKNUM(B25,21)</f>
        <v>W42</v>
      </c>
      <c r="B25" s="14" t="n">
        <v>46312</v>
      </c>
      <c r="C25" s="13"/>
      <c r="D25" s="13"/>
      <c r="E25" s="13"/>
      <c r="F25" s="13"/>
      <c r="G25" s="13" t="s">
        <v>72</v>
      </c>
      <c r="H25" s="13" t="s">
        <v>52</v>
      </c>
      <c r="I25" s="15" t="s">
        <v>53</v>
      </c>
      <c r="J25" s="13" t="s">
        <v>50</v>
      </c>
      <c r="K25" s="15" t="s">
        <v>100</v>
      </c>
      <c r="L25" s="15" t="s">
        <v>196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4</v>
      </c>
      <c r="Q25" s="17" t="n">
        <f aca="false">P25*O25</f>
        <v>18</v>
      </c>
    </row>
    <row r="26" customFormat="false" ht="15" hidden="false" customHeight="false" outlineLevel="0" collapsed="false">
      <c r="A26" s="13" t="str">
        <f aca="false">"W"&amp;WEEKNUM(B26,21)</f>
        <v>W42</v>
      </c>
      <c r="B26" s="14" t="n">
        <v>46312</v>
      </c>
      <c r="C26" s="13"/>
      <c r="D26" s="13"/>
      <c r="E26" s="13"/>
      <c r="F26" s="13"/>
      <c r="G26" s="13" t="s">
        <v>25</v>
      </c>
      <c r="H26" s="13" t="s">
        <v>52</v>
      </c>
      <c r="I26" s="15" t="s">
        <v>53</v>
      </c>
      <c r="J26" s="13" t="s">
        <v>50</v>
      </c>
      <c r="K26" s="15" t="s">
        <v>100</v>
      </c>
      <c r="L26" s="15" t="s">
        <v>196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3</v>
      </c>
      <c r="Q26" s="17" t="n">
        <f aca="false">P26*O26</f>
        <v>13.5</v>
      </c>
    </row>
    <row r="27" customFormat="false" ht="15" hidden="false" customHeight="false" outlineLevel="0" collapsed="false">
      <c r="A27" s="13" t="str">
        <f aca="false">"W"&amp;WEEKNUM(B27,21)</f>
        <v>W42</v>
      </c>
      <c r="B27" s="14" t="n">
        <v>46312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113</v>
      </c>
      <c r="L27" s="15" t="s">
        <v>197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6</v>
      </c>
      <c r="Q27" s="17" t="n">
        <f aca="false">P27*O27</f>
        <v>27</v>
      </c>
    </row>
    <row r="28" customFormat="false" ht="15" hidden="false" customHeight="false" outlineLevel="0" collapsed="false">
      <c r="A28" s="13" t="str">
        <f aca="false">"W"&amp;WEEKNUM(B28,21)</f>
        <v>W42</v>
      </c>
      <c r="B28" s="14" t="n">
        <v>46312</v>
      </c>
      <c r="C28" s="13"/>
      <c r="D28" s="13"/>
      <c r="E28" s="13"/>
      <c r="F28" s="13"/>
      <c r="G28" s="13" t="s">
        <v>72</v>
      </c>
      <c r="H28" s="13" t="s">
        <v>52</v>
      </c>
      <c r="I28" s="15" t="s">
        <v>53</v>
      </c>
      <c r="J28" s="13" t="s">
        <v>50</v>
      </c>
      <c r="K28" s="15" t="s">
        <v>113</v>
      </c>
      <c r="L28" s="15" t="s">
        <v>197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2</v>
      </c>
      <c r="Q28" s="17" t="n">
        <f aca="false">P28*O28</f>
        <v>9</v>
      </c>
    </row>
    <row r="29" customFormat="false" ht="15" hidden="false" customHeight="false" outlineLevel="0" collapsed="false">
      <c r="A29" s="13" t="str">
        <f aca="false">"W"&amp;WEEKNUM(B29,21)</f>
        <v>W42</v>
      </c>
      <c r="B29" s="14" t="n">
        <v>46312</v>
      </c>
      <c r="C29" s="13"/>
      <c r="D29" s="13"/>
      <c r="E29" s="13"/>
      <c r="F29" s="13"/>
      <c r="G29" s="13" t="s">
        <v>72</v>
      </c>
      <c r="H29" s="13" t="s">
        <v>52</v>
      </c>
      <c r="I29" s="15" t="s">
        <v>53</v>
      </c>
      <c r="J29" s="13" t="s">
        <v>50</v>
      </c>
      <c r="K29" s="15" t="s">
        <v>127</v>
      </c>
      <c r="L29" s="15" t="s">
        <v>198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1</v>
      </c>
      <c r="Q29" s="17" t="n">
        <f aca="false">P29*O29</f>
        <v>4.5</v>
      </c>
    </row>
    <row r="30" customFormat="false" ht="15" hidden="false" customHeight="false" outlineLevel="0" collapsed="false">
      <c r="A30" s="13" t="str">
        <f aca="false">"W"&amp;WEEKNUM(B30,21)</f>
        <v>W42</v>
      </c>
      <c r="B30" s="14" t="n">
        <v>46312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127</v>
      </c>
      <c r="L30" s="15" t="s">
        <v>198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3</v>
      </c>
      <c r="Q30" s="17" t="n">
        <f aca="false">P30*O30</f>
        <v>13.5</v>
      </c>
    </row>
    <row r="31" customFormat="false" ht="15" hidden="false" customHeight="false" outlineLevel="0" collapsed="false">
      <c r="A31" s="13" t="str">
        <f aca="false">"W"&amp;WEEKNUM(B31,21)</f>
        <v>W42</v>
      </c>
      <c r="B31" s="14" t="n">
        <v>46312</v>
      </c>
      <c r="C31" s="13"/>
      <c r="D31" s="13"/>
      <c r="E31" s="13"/>
      <c r="F31" s="13"/>
      <c r="G31" s="13" t="s">
        <v>28</v>
      </c>
      <c r="H31" s="13" t="s">
        <v>52</v>
      </c>
      <c r="I31" s="15" t="s">
        <v>53</v>
      </c>
      <c r="J31" s="13" t="s">
        <v>50</v>
      </c>
      <c r="K31" s="15" t="s">
        <v>164</v>
      </c>
      <c r="L31" s="15" t="s">
        <v>199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2</v>
      </c>
      <c r="Q31" s="17" t="n">
        <f aca="false">P31*O31</f>
        <v>9</v>
      </c>
    </row>
    <row r="32" customFormat="false" ht="15" hidden="false" customHeight="false" outlineLevel="0" collapsed="false">
      <c r="A32" s="13" t="str">
        <f aca="false">"W"&amp;WEEKNUM(B32,21)</f>
        <v>W42</v>
      </c>
      <c r="B32" s="14" t="n">
        <v>46312</v>
      </c>
      <c r="C32" s="13"/>
      <c r="D32" s="13"/>
      <c r="E32" s="13"/>
      <c r="F32" s="13"/>
      <c r="G32" s="13" t="s">
        <v>72</v>
      </c>
      <c r="H32" s="13" t="s">
        <v>52</v>
      </c>
      <c r="I32" s="15" t="s">
        <v>53</v>
      </c>
      <c r="J32" s="13" t="s">
        <v>50</v>
      </c>
      <c r="K32" s="15" t="s">
        <v>164</v>
      </c>
      <c r="L32" s="15" t="s">
        <v>199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W42</v>
      </c>
      <c r="B33" s="14" t="n">
        <v>46312</v>
      </c>
      <c r="C33" s="13"/>
      <c r="D33" s="13"/>
      <c r="E33" s="13"/>
      <c r="F33" s="13"/>
      <c r="G33" s="13" t="s">
        <v>28</v>
      </c>
      <c r="H33" s="13" t="s">
        <v>52</v>
      </c>
      <c r="I33" s="15" t="s">
        <v>53</v>
      </c>
      <c r="J33" s="13" t="s">
        <v>50</v>
      </c>
      <c r="K33" s="15" t="s">
        <v>172</v>
      </c>
      <c r="L33" s="15" t="s">
        <v>200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2</v>
      </c>
      <c r="Q33" s="17" t="n">
        <f aca="false">P33*O33</f>
        <v>9</v>
      </c>
    </row>
    <row r="34" customFormat="false" ht="15" hidden="false" customHeight="false" outlineLevel="0" collapsed="false">
      <c r="A34" s="13" t="str">
        <f aca="false">"W"&amp;WEEKNUM(B34,21)</f>
        <v>W42</v>
      </c>
      <c r="B34" s="14" t="n">
        <v>46312</v>
      </c>
      <c r="C34" s="13"/>
      <c r="D34" s="13"/>
      <c r="E34" s="13"/>
      <c r="F34" s="13"/>
      <c r="G34" s="13" t="s">
        <v>72</v>
      </c>
      <c r="H34" s="13" t="s">
        <v>52</v>
      </c>
      <c r="I34" s="15" t="s">
        <v>53</v>
      </c>
      <c r="J34" s="13" t="s">
        <v>50</v>
      </c>
      <c r="K34" s="15" t="s">
        <v>172</v>
      </c>
      <c r="L34" s="15" t="s">
        <v>200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4</v>
      </c>
      <c r="Q34" s="17" t="n">
        <f aca="false">P34*O34</f>
        <v>18</v>
      </c>
    </row>
    <row r="35" customFormat="false" ht="15" hidden="false" customHeight="false" outlineLevel="0" collapsed="false">
      <c r="A35" s="13" t="str">
        <f aca="false">"W"&amp;WEEKNUM(B35,21)</f>
        <v>W42</v>
      </c>
      <c r="B35" s="14" t="n">
        <v>46312</v>
      </c>
      <c r="C35" s="13"/>
      <c r="D35" s="13"/>
      <c r="E35" s="13"/>
      <c r="F35" s="13"/>
      <c r="G35" s="13" t="s">
        <v>25</v>
      </c>
      <c r="H35" s="13" t="s">
        <v>52</v>
      </c>
      <c r="I35" s="15" t="s">
        <v>53</v>
      </c>
      <c r="J35" s="13" t="s">
        <v>50</v>
      </c>
      <c r="K35" s="15" t="s">
        <v>172</v>
      </c>
      <c r="L35" s="15" t="s">
        <v>200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W42</v>
      </c>
      <c r="B36" s="14" t="n">
        <v>46312</v>
      </c>
      <c r="C36" s="13"/>
      <c r="D36" s="13"/>
      <c r="E36" s="13"/>
      <c r="F36" s="13"/>
      <c r="G36" s="13" t="s">
        <v>28</v>
      </c>
      <c r="H36" s="13" t="s">
        <v>52</v>
      </c>
      <c r="I36" s="15" t="s">
        <v>53</v>
      </c>
      <c r="J36" s="13" t="s">
        <v>50</v>
      </c>
      <c r="K36" s="15" t="s">
        <v>181</v>
      </c>
      <c r="L36" s="15" t="s">
        <v>201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W42</v>
      </c>
      <c r="B37" s="14" t="n">
        <v>46312</v>
      </c>
      <c r="C37" s="13"/>
      <c r="D37" s="13"/>
      <c r="E37" s="13"/>
      <c r="F37" s="13"/>
      <c r="G37" s="13" t="s">
        <v>28</v>
      </c>
      <c r="H37" s="13" t="s">
        <v>52</v>
      </c>
      <c r="I37" s="15" t="s">
        <v>53</v>
      </c>
      <c r="J37" s="13" t="s">
        <v>50</v>
      </c>
      <c r="K37" s="15" t="s">
        <v>192</v>
      </c>
      <c r="L37" s="15" t="s">
        <v>202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4</v>
      </c>
      <c r="Q37" s="17" t="n">
        <f aca="false">P37*O37</f>
        <v>18</v>
      </c>
    </row>
    <row r="38" customFormat="false" ht="15" hidden="false" customHeight="false" outlineLevel="0" collapsed="false">
      <c r="A38" s="13" t="str">
        <f aca="false">"W"&amp;WEEKNUM(B38,21)</f>
        <v>W42</v>
      </c>
      <c r="B38" s="14" t="n">
        <v>46312</v>
      </c>
      <c r="C38" s="13"/>
      <c r="D38" s="13"/>
      <c r="E38" s="13"/>
      <c r="F38" s="13"/>
      <c r="G38" s="13" t="s">
        <v>184</v>
      </c>
      <c r="H38" s="13" t="s">
        <v>52</v>
      </c>
      <c r="I38" s="15" t="s">
        <v>53</v>
      </c>
      <c r="J38" s="13" t="s">
        <v>50</v>
      </c>
      <c r="K38" s="15" t="s">
        <v>203</v>
      </c>
      <c r="L38" s="15" t="s">
        <v>204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P39" s="18" t="s">
        <v>75</v>
      </c>
      <c r="Q39" s="19" t="n">
        <f aca="false">SUM(Q3:Q38)</f>
        <v>398</v>
      </c>
    </row>
    <row r="41" customFormat="false" ht="15" hidden="false" customHeight="false" outlineLevel="0" collapsed="false">
      <c r="A41" s="20" t="s">
        <v>76</v>
      </c>
    </row>
  </sheetData>
  <autoFilter ref="A2:Q3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10" min="3" style="0" width="14"/>
  </cols>
  <sheetData>
    <row r="1" customFormat="false" ht="17.35" hidden="false" customHeight="false" outlineLevel="0" collapsed="false">
      <c r="A1" s="21" t="s">
        <v>205</v>
      </c>
    </row>
    <row r="3" customFormat="false" ht="15" hidden="false" customHeight="false" outlineLevel="0" collapsed="false">
      <c r="A3" s="18" t="s">
        <v>206</v>
      </c>
    </row>
    <row r="4" customFormat="false" ht="25.35" hidden="false" customHeight="false" outlineLevel="0" collapsed="false">
      <c r="A4" s="2" t="s">
        <v>8</v>
      </c>
      <c r="B4" s="2" t="s">
        <v>207</v>
      </c>
      <c r="C4" s="2" t="s">
        <v>18</v>
      </c>
      <c r="D4" s="2" t="s">
        <v>23</v>
      </c>
      <c r="E4" s="2" t="s">
        <v>25</v>
      </c>
      <c r="F4" s="2" t="s">
        <v>28</v>
      </c>
      <c r="G4" s="2" t="s">
        <v>68</v>
      </c>
      <c r="H4" s="2" t="s">
        <v>72</v>
      </c>
      <c r="I4" s="2" t="s">
        <v>184</v>
      </c>
      <c r="J4" s="2" t="s">
        <v>75</v>
      </c>
    </row>
    <row r="5" customFormat="false" ht="15" hidden="false" customHeight="false" outlineLevel="0" collapsed="false">
      <c r="A5" s="22" t="s">
        <v>19</v>
      </c>
      <c r="B5" s="22" t="s">
        <v>20</v>
      </c>
      <c r="C5" s="23" t="n">
        <f aca="false">SUMIFS('Loss time 05-10'!$Q$3:$Q$39,'Loss time 05-10'!$H$3:$H$39,$A5,'Loss time 05-10'!$G$3:$G$39,C$4)</f>
        <v>3.5</v>
      </c>
      <c r="D5" s="23" t="n">
        <f aca="false">SUMIFS('Loss time 05-10'!$Q$3:$Q$39,'Loss time 05-10'!$H$3:$H$39,$A5,'Loss time 05-10'!$G$3:$G$39,D$4)</f>
        <v>9</v>
      </c>
      <c r="E5" s="23" t="n">
        <f aca="false">SUMIFS('Loss time 05-10'!$Q$3:$Q$39,'Loss time 05-10'!$H$3:$H$39,$A5,'Loss time 05-10'!$G$3:$G$39,E$4)</f>
        <v>9.5</v>
      </c>
      <c r="F5" s="23" t="n">
        <f aca="false">SUMIFS('Loss time 05-10'!$Q$3:$Q$39,'Loss time 05-10'!$H$3:$H$39,$A5,'Loss time 05-10'!$G$3:$G$39,F$4)</f>
        <v>25</v>
      </c>
      <c r="G5" s="23" t="n">
        <f aca="false">SUMIFS('Loss time 05-10'!$Q$3:$Q$39,'Loss time 05-10'!$H$3:$H$39,$A5,'Loss time 05-10'!$G$3:$G$39,G$4)</f>
        <v>0</v>
      </c>
      <c r="H5" s="23" t="n">
        <f aca="false">SUMIFS('Loss time 05-10'!$Q$3:$Q$39,'Loss time 05-10'!$H$3:$H$39,$A5,'Loss time 05-10'!$G$3:$G$39,H$4)</f>
        <v>0</v>
      </c>
      <c r="I5" s="23" t="n">
        <f aca="false">SUMIFS('Loss time 05-10'!$Q$3:$Q$39,'Loss time 05-10'!$H$3:$H$39,$A5,'Loss time 05-10'!$G$3:$G$39,I$4)</f>
        <v>0</v>
      </c>
      <c r="J5" s="24" t="n">
        <f aca="false">SUM(C5:I5)</f>
        <v>47</v>
      </c>
    </row>
    <row r="6" customFormat="false" ht="15" hidden="false" customHeight="false" outlineLevel="0" collapsed="false">
      <c r="A6" s="22" t="s">
        <v>30</v>
      </c>
      <c r="B6" s="22" t="s">
        <v>31</v>
      </c>
      <c r="C6" s="23" t="n">
        <f aca="false">SUMIFS('Loss time 05-10'!$Q$3:$Q$39,'Loss time 05-10'!$H$3:$H$39,$A6,'Loss time 05-10'!$G$3:$G$39,C$4)</f>
        <v>12.5</v>
      </c>
      <c r="D6" s="23" t="n">
        <f aca="false">SUMIFS('Loss time 05-10'!$Q$3:$Q$39,'Loss time 05-10'!$H$3:$H$39,$A6,'Loss time 05-10'!$G$3:$G$39,D$4)</f>
        <v>112.5</v>
      </c>
      <c r="E6" s="23" t="n">
        <f aca="false">SUMIFS('Loss time 05-10'!$Q$3:$Q$39,'Loss time 05-10'!$H$3:$H$39,$A6,'Loss time 05-10'!$G$3:$G$39,E$4)</f>
        <v>75</v>
      </c>
      <c r="F6" s="23" t="n">
        <f aca="false">SUMIFS('Loss time 05-10'!$Q$3:$Q$39,'Loss time 05-10'!$H$3:$H$39,$A6,'Loss time 05-10'!$G$3:$G$39,F$4)</f>
        <v>25</v>
      </c>
      <c r="G6" s="23" t="n">
        <f aca="false">SUMIFS('Loss time 05-10'!$Q$3:$Q$39,'Loss time 05-10'!$H$3:$H$39,$A6,'Loss time 05-10'!$G$3:$G$39,G$4)</f>
        <v>0</v>
      </c>
      <c r="H6" s="23" t="n">
        <f aca="false">SUMIFS('Loss time 05-10'!$Q$3:$Q$39,'Loss time 05-10'!$H$3:$H$39,$A6,'Loss time 05-10'!$G$3:$G$39,H$4)</f>
        <v>0</v>
      </c>
      <c r="I6" s="23" t="n">
        <f aca="false">SUMIFS('Loss time 05-10'!$Q$3:$Q$39,'Loss time 05-10'!$H$3:$H$39,$A6,'Loss time 05-10'!$G$3:$G$39,I$4)</f>
        <v>0</v>
      </c>
      <c r="J6" s="24" t="n">
        <f aca="false">SUM(C6:I6)</f>
        <v>225</v>
      </c>
    </row>
    <row r="7" customFormat="false" ht="15" hidden="false" customHeight="false" outlineLevel="0" collapsed="false">
      <c r="A7" s="22" t="s">
        <v>48</v>
      </c>
      <c r="B7" s="22" t="s">
        <v>49</v>
      </c>
      <c r="C7" s="23" t="n">
        <f aca="false">SUMIFS('Loss time 05-10'!$Q$3:$Q$39,'Loss time 05-10'!$H$3:$H$39,$A7,'Loss time 05-10'!$G$3:$G$39,C$4)</f>
        <v>0</v>
      </c>
      <c r="D7" s="23" t="n">
        <f aca="false">SUMIFS('Loss time 05-10'!$Q$3:$Q$39,'Loss time 05-10'!$H$3:$H$39,$A7,'Loss time 05-10'!$G$3:$G$39,D$4)</f>
        <v>0</v>
      </c>
      <c r="E7" s="23" t="n">
        <f aca="false">SUMIFS('Loss time 05-10'!$Q$3:$Q$39,'Loss time 05-10'!$H$3:$H$39,$A7,'Loss time 05-10'!$G$3:$G$39,E$4)</f>
        <v>0</v>
      </c>
      <c r="F7" s="23" t="n">
        <f aca="false">SUMIFS('Loss time 05-10'!$Q$3:$Q$39,'Loss time 05-10'!$H$3:$H$39,$A7,'Loss time 05-10'!$G$3:$G$39,F$4)</f>
        <v>48</v>
      </c>
      <c r="G7" s="23" t="n">
        <f aca="false">SUMIFS('Loss time 05-10'!$Q$3:$Q$39,'Loss time 05-10'!$H$3:$H$39,$A7,'Loss time 05-10'!$G$3:$G$39,G$4)</f>
        <v>0</v>
      </c>
      <c r="H7" s="23" t="n">
        <f aca="false">SUMIFS('Loss time 05-10'!$Q$3:$Q$39,'Loss time 05-10'!$H$3:$H$39,$A7,'Loss time 05-10'!$G$3:$G$39,H$4)</f>
        <v>0</v>
      </c>
      <c r="I7" s="23" t="n">
        <f aca="false">SUMIFS('Loss time 05-10'!$Q$3:$Q$39,'Loss time 05-10'!$H$3:$H$39,$A7,'Loss time 05-10'!$G$3:$G$39,I$4)</f>
        <v>0</v>
      </c>
      <c r="J7" s="24" t="n">
        <f aca="false">SUM(C7:I7)</f>
        <v>48</v>
      </c>
    </row>
    <row r="8" customFormat="false" ht="15" hidden="false" customHeight="false" outlineLevel="0" collapsed="false">
      <c r="A8" s="22" t="s">
        <v>52</v>
      </c>
      <c r="B8" s="22" t="s">
        <v>53</v>
      </c>
      <c r="C8" s="23" t="n">
        <f aca="false">SUMIFS('Loss time 05-10'!$Q$3:$Q$39,'Loss time 05-10'!$H$3:$H$39,$A8,'Loss time 05-10'!$G$3:$G$39,C$4)</f>
        <v>0</v>
      </c>
      <c r="D8" s="23" t="n">
        <f aca="false">SUMIFS('Loss time 05-10'!$Q$3:$Q$39,'Loss time 05-10'!$H$3:$H$39,$A8,'Loss time 05-10'!$G$3:$G$39,D$4)</f>
        <v>0</v>
      </c>
      <c r="E8" s="23" t="n">
        <f aca="false">SUMIFS('Loss time 05-10'!$Q$3:$Q$39,'Loss time 05-10'!$H$3:$H$39,$A8,'Loss time 05-10'!$G$3:$G$39,E$4)</f>
        <v>85.5</v>
      </c>
      <c r="F8" s="23" t="n">
        <f aca="false">SUMIFS('Loss time 05-10'!$Q$3:$Q$39,'Loss time 05-10'!$H$3:$H$39,$A8,'Loss time 05-10'!$G$3:$G$39,F$4)</f>
        <v>85.5</v>
      </c>
      <c r="G8" s="23" t="n">
        <f aca="false">SUMIFS('Loss time 05-10'!$Q$3:$Q$39,'Loss time 05-10'!$H$3:$H$39,$A8,'Loss time 05-10'!$G$3:$G$39,G$4)</f>
        <v>22.5</v>
      </c>
      <c r="H8" s="23" t="n">
        <f aca="false">SUMIFS('Loss time 05-10'!$Q$3:$Q$39,'Loss time 05-10'!$H$3:$H$39,$A8,'Loss time 05-10'!$G$3:$G$39,H$4)</f>
        <v>18</v>
      </c>
      <c r="I8" s="23" t="n">
        <f aca="false">SUMIFS('Loss time 05-10'!$Q$3:$Q$39,'Loss time 05-10'!$H$3:$H$39,$A8,'Loss time 05-10'!$G$3:$G$39,I$4)</f>
        <v>0</v>
      </c>
      <c r="J8" s="24" t="n">
        <f aca="false">SUM(C8:I8)</f>
        <v>211.5</v>
      </c>
    </row>
    <row r="9" customFormat="false" ht="15" hidden="false" customHeight="false" outlineLevel="0" collapsed="false">
      <c r="A9" s="25" t="s">
        <v>75</v>
      </c>
      <c r="B9" s="25"/>
      <c r="C9" s="24" t="n">
        <f aca="false">SUM(C5:C8)</f>
        <v>16</v>
      </c>
      <c r="D9" s="24" t="n">
        <f aca="false">SUM(D5:D8)</f>
        <v>121.5</v>
      </c>
      <c r="E9" s="24" t="n">
        <f aca="false">SUM(E5:E8)</f>
        <v>170</v>
      </c>
      <c r="F9" s="24" t="n">
        <f aca="false">SUM(F5:F8)</f>
        <v>183.5</v>
      </c>
      <c r="G9" s="24" t="n">
        <f aca="false">SUM(G5:G8)</f>
        <v>22.5</v>
      </c>
      <c r="H9" s="24" t="n">
        <f aca="false">SUM(H5:H8)</f>
        <v>18</v>
      </c>
      <c r="I9" s="24" t="n">
        <f aca="false">SUM(I5:I8)</f>
        <v>0</v>
      </c>
      <c r="J9" s="24" t="n">
        <f aca="false">SUM(J5:J8)</f>
        <v>531.5</v>
      </c>
    </row>
    <row r="12" customFormat="false" ht="15" hidden="false" customHeight="false" outlineLevel="0" collapsed="false">
      <c r="A12" s="18" t="s">
        <v>208</v>
      </c>
    </row>
    <row r="13" customFormat="false" ht="25.35" hidden="false" customHeight="false" outlineLevel="0" collapsed="false">
      <c r="A13" s="2" t="s">
        <v>8</v>
      </c>
      <c r="B13" s="2" t="s">
        <v>207</v>
      </c>
      <c r="C13" s="2" t="s">
        <v>18</v>
      </c>
      <c r="D13" s="2" t="s">
        <v>23</v>
      </c>
      <c r="E13" s="2" t="s">
        <v>25</v>
      </c>
      <c r="F13" s="2" t="s">
        <v>28</v>
      </c>
      <c r="G13" s="2" t="s">
        <v>68</v>
      </c>
      <c r="H13" s="2" t="s">
        <v>72</v>
      </c>
      <c r="I13" s="2" t="s">
        <v>184</v>
      </c>
      <c r="J13" s="2" t="s">
        <v>75</v>
      </c>
    </row>
    <row r="14" customFormat="false" ht="15" hidden="false" customHeight="false" outlineLevel="0" collapsed="false">
      <c r="A14" s="22" t="s">
        <v>19</v>
      </c>
      <c r="B14" s="22" t="s">
        <v>20</v>
      </c>
      <c r="C14" s="23" t="n">
        <f aca="false">SUMIFS('Loss time 06-10'!$Q$3:$Q$42,'Loss time 06-10'!$H$3:$H$42,$A14,'Loss time 06-10'!$G$3:$G$42,C$13)</f>
        <v>3.5</v>
      </c>
      <c r="D14" s="23" t="n">
        <f aca="false">SUMIFS('Loss time 06-10'!$Q$3:$Q$42,'Loss time 06-10'!$H$3:$H$42,$A14,'Loss time 06-10'!$G$3:$G$42,D$13)</f>
        <v>9</v>
      </c>
      <c r="E14" s="23" t="n">
        <f aca="false">SUMIFS('Loss time 06-10'!$Q$3:$Q$42,'Loss time 06-10'!$H$3:$H$42,$A14,'Loss time 06-10'!$G$3:$G$42,E$13)</f>
        <v>9.5</v>
      </c>
      <c r="F14" s="23" t="n">
        <f aca="false">SUMIFS('Loss time 06-10'!$Q$3:$Q$42,'Loss time 06-10'!$H$3:$H$42,$A14,'Loss time 06-10'!$G$3:$G$42,F$13)</f>
        <v>25</v>
      </c>
      <c r="G14" s="23" t="n">
        <f aca="false">SUMIFS('Loss time 06-10'!$Q$3:$Q$42,'Loss time 06-10'!$H$3:$H$42,$A14,'Loss time 06-10'!$G$3:$G$42,G$13)</f>
        <v>0</v>
      </c>
      <c r="H14" s="23" t="n">
        <f aca="false">SUMIFS('Loss time 06-10'!$Q$3:$Q$42,'Loss time 06-10'!$H$3:$H$42,$A14,'Loss time 06-10'!$G$3:$G$42,H$13)</f>
        <v>0</v>
      </c>
      <c r="I14" s="23" t="n">
        <f aca="false">SUMIFS('Loss time 06-10'!$Q$3:$Q$42,'Loss time 06-10'!$H$3:$H$42,$A14,'Loss time 06-10'!$G$3:$G$42,I$13)</f>
        <v>0</v>
      </c>
      <c r="J14" s="24" t="n">
        <f aca="false">SUM(C14:I14)</f>
        <v>47</v>
      </c>
    </row>
    <row r="15" customFormat="false" ht="15" hidden="false" customHeight="false" outlineLevel="0" collapsed="false">
      <c r="A15" s="22" t="s">
        <v>30</v>
      </c>
      <c r="B15" s="22" t="s">
        <v>31</v>
      </c>
      <c r="C15" s="23" t="n">
        <f aca="false">SUMIFS('Loss time 06-10'!$Q$3:$Q$42,'Loss time 06-10'!$H$3:$H$42,$A15,'Loss time 06-10'!$G$3:$G$42,C$13)</f>
        <v>12.5</v>
      </c>
      <c r="D15" s="23" t="n">
        <f aca="false">SUMIFS('Loss time 06-10'!$Q$3:$Q$42,'Loss time 06-10'!$H$3:$H$42,$A15,'Loss time 06-10'!$G$3:$G$42,D$13)</f>
        <v>112.5</v>
      </c>
      <c r="E15" s="23" t="n">
        <f aca="false">SUMIFS('Loss time 06-10'!$Q$3:$Q$42,'Loss time 06-10'!$H$3:$H$42,$A15,'Loss time 06-10'!$G$3:$G$42,E$13)</f>
        <v>75</v>
      </c>
      <c r="F15" s="23" t="n">
        <f aca="false">SUMIFS('Loss time 06-10'!$Q$3:$Q$42,'Loss time 06-10'!$H$3:$H$42,$A15,'Loss time 06-10'!$G$3:$G$42,F$13)</f>
        <v>25</v>
      </c>
      <c r="G15" s="23" t="n">
        <f aca="false">SUMIFS('Loss time 06-10'!$Q$3:$Q$42,'Loss time 06-10'!$H$3:$H$42,$A15,'Loss time 06-10'!$G$3:$G$42,G$13)</f>
        <v>0</v>
      </c>
      <c r="H15" s="23" t="n">
        <f aca="false">SUMIFS('Loss time 06-10'!$Q$3:$Q$42,'Loss time 06-10'!$H$3:$H$42,$A15,'Loss time 06-10'!$G$3:$G$42,H$13)</f>
        <v>0</v>
      </c>
      <c r="I15" s="23" t="n">
        <f aca="false">SUMIFS('Loss time 06-10'!$Q$3:$Q$42,'Loss time 06-10'!$H$3:$H$42,$A15,'Loss time 06-10'!$G$3:$G$42,I$13)</f>
        <v>0</v>
      </c>
      <c r="J15" s="24" t="n">
        <f aca="false">SUM(C15:I15)</f>
        <v>225</v>
      </c>
    </row>
    <row r="16" customFormat="false" ht="15" hidden="false" customHeight="false" outlineLevel="0" collapsed="false">
      <c r="A16" s="22" t="s">
        <v>48</v>
      </c>
      <c r="B16" s="22" t="s">
        <v>49</v>
      </c>
      <c r="C16" s="23" t="n">
        <f aca="false">SUMIFS('Loss time 06-10'!$Q$3:$Q$42,'Loss time 06-10'!$H$3:$H$42,$A16,'Loss time 06-10'!$G$3:$G$42,C$13)</f>
        <v>0</v>
      </c>
      <c r="D16" s="23" t="n">
        <f aca="false">SUMIFS('Loss time 06-10'!$Q$3:$Q$42,'Loss time 06-10'!$H$3:$H$42,$A16,'Loss time 06-10'!$G$3:$G$42,D$13)</f>
        <v>0</v>
      </c>
      <c r="E16" s="23" t="n">
        <f aca="false">SUMIFS('Loss time 06-10'!$Q$3:$Q$42,'Loss time 06-10'!$H$3:$H$42,$A16,'Loss time 06-10'!$G$3:$G$42,E$13)</f>
        <v>24</v>
      </c>
      <c r="F16" s="23" t="n">
        <f aca="false">SUMIFS('Loss time 06-10'!$Q$3:$Q$42,'Loss time 06-10'!$H$3:$H$42,$A16,'Loss time 06-10'!$G$3:$G$42,F$13)</f>
        <v>56</v>
      </c>
      <c r="G16" s="23" t="n">
        <f aca="false">SUMIFS('Loss time 06-10'!$Q$3:$Q$42,'Loss time 06-10'!$H$3:$H$42,$A16,'Loss time 06-10'!$G$3:$G$42,G$13)</f>
        <v>0</v>
      </c>
      <c r="H16" s="23" t="n">
        <f aca="false">SUMIFS('Loss time 06-10'!$Q$3:$Q$42,'Loss time 06-10'!$H$3:$H$42,$A16,'Loss time 06-10'!$G$3:$G$42,H$13)</f>
        <v>32</v>
      </c>
      <c r="I16" s="23" t="n">
        <f aca="false">SUMIFS('Loss time 06-10'!$Q$3:$Q$42,'Loss time 06-10'!$H$3:$H$42,$A16,'Loss time 06-10'!$G$3:$G$42,I$13)</f>
        <v>0</v>
      </c>
      <c r="J16" s="24" t="n">
        <f aca="false">SUM(C16:I16)</f>
        <v>112</v>
      </c>
    </row>
    <row r="17" customFormat="false" ht="15" hidden="false" customHeight="false" outlineLevel="0" collapsed="false">
      <c r="A17" s="22" t="s">
        <v>52</v>
      </c>
      <c r="B17" s="22" t="s">
        <v>53</v>
      </c>
      <c r="C17" s="23" t="n">
        <f aca="false">SUMIFS('Loss time 06-10'!$Q$3:$Q$42,'Loss time 06-10'!$H$3:$H$42,$A17,'Loss time 06-10'!$G$3:$G$42,C$13)</f>
        <v>0</v>
      </c>
      <c r="D17" s="23" t="n">
        <f aca="false">SUMIFS('Loss time 06-10'!$Q$3:$Q$42,'Loss time 06-10'!$H$3:$H$42,$A17,'Loss time 06-10'!$G$3:$G$42,D$13)</f>
        <v>0</v>
      </c>
      <c r="E17" s="23" t="n">
        <f aca="false">SUMIFS('Loss time 06-10'!$Q$3:$Q$42,'Loss time 06-10'!$H$3:$H$42,$A17,'Loss time 06-10'!$G$3:$G$42,E$13)</f>
        <v>85.5</v>
      </c>
      <c r="F17" s="23" t="n">
        <f aca="false">SUMIFS('Loss time 06-10'!$Q$3:$Q$42,'Loss time 06-10'!$H$3:$H$42,$A17,'Loss time 06-10'!$G$3:$G$42,F$13)</f>
        <v>112.5</v>
      </c>
      <c r="G17" s="23" t="n">
        <f aca="false">SUMIFS('Loss time 06-10'!$Q$3:$Q$42,'Loss time 06-10'!$H$3:$H$42,$A17,'Loss time 06-10'!$G$3:$G$42,G$13)</f>
        <v>22.5</v>
      </c>
      <c r="H17" s="23" t="n">
        <f aca="false">SUMIFS('Loss time 06-10'!$Q$3:$Q$42,'Loss time 06-10'!$H$3:$H$42,$A17,'Loss time 06-10'!$G$3:$G$42,H$13)</f>
        <v>18</v>
      </c>
      <c r="I17" s="23" t="n">
        <f aca="false">SUMIFS('Loss time 06-10'!$Q$3:$Q$42,'Loss time 06-10'!$H$3:$H$42,$A17,'Loss time 06-10'!$G$3:$G$42,I$13)</f>
        <v>0</v>
      </c>
      <c r="J17" s="24" t="n">
        <f aca="false">SUM(C17:I17)</f>
        <v>238.5</v>
      </c>
    </row>
    <row r="18" customFormat="false" ht="15" hidden="false" customHeight="false" outlineLevel="0" collapsed="false">
      <c r="A18" s="25" t="s">
        <v>75</v>
      </c>
      <c r="B18" s="25"/>
      <c r="C18" s="24" t="n">
        <f aca="false">SUM(C14:C17)</f>
        <v>16</v>
      </c>
      <c r="D18" s="24" t="n">
        <f aca="false">SUM(D14:D17)</f>
        <v>121.5</v>
      </c>
      <c r="E18" s="24" t="n">
        <f aca="false">SUM(E14:E17)</f>
        <v>194</v>
      </c>
      <c r="F18" s="24" t="n">
        <f aca="false">SUM(F14:F17)</f>
        <v>218.5</v>
      </c>
      <c r="G18" s="24" t="n">
        <f aca="false">SUM(G14:G17)</f>
        <v>22.5</v>
      </c>
      <c r="H18" s="24" t="n">
        <f aca="false">SUM(H14:H17)</f>
        <v>50</v>
      </c>
      <c r="I18" s="24" t="n">
        <f aca="false">SUM(I14:I17)</f>
        <v>0</v>
      </c>
      <c r="J18" s="24" t="n">
        <f aca="false">SUM(J14:J17)</f>
        <v>622.5</v>
      </c>
    </row>
    <row r="21" customFormat="false" ht="15" hidden="false" customHeight="false" outlineLevel="0" collapsed="false">
      <c r="A21" s="18" t="s">
        <v>209</v>
      </c>
    </row>
    <row r="22" customFormat="false" ht="25.35" hidden="false" customHeight="false" outlineLevel="0" collapsed="false">
      <c r="A22" s="2" t="s">
        <v>8</v>
      </c>
      <c r="B22" s="2" t="s">
        <v>207</v>
      </c>
      <c r="C22" s="2" t="s">
        <v>18</v>
      </c>
      <c r="D22" s="2" t="s">
        <v>23</v>
      </c>
      <c r="E22" s="2" t="s">
        <v>25</v>
      </c>
      <c r="F22" s="2" t="s">
        <v>28</v>
      </c>
      <c r="G22" s="2" t="s">
        <v>68</v>
      </c>
      <c r="H22" s="2" t="s">
        <v>72</v>
      </c>
      <c r="I22" s="2" t="s">
        <v>184</v>
      </c>
      <c r="J22" s="2" t="s">
        <v>75</v>
      </c>
    </row>
    <row r="23" customFormat="false" ht="15" hidden="false" customHeight="false" outlineLevel="0" collapsed="false">
      <c r="A23" s="22" t="s">
        <v>19</v>
      </c>
      <c r="B23" s="22" t="s">
        <v>20</v>
      </c>
      <c r="C23" s="23" t="n">
        <f aca="false">SUMIFS('Loss time 07-10'!$Q$3:$Q$44,'Loss time 07-10'!$H$3:$H$44,$A23,'Loss time 07-10'!$G$3:$G$44,C$22)</f>
        <v>3.5</v>
      </c>
      <c r="D23" s="23" t="n">
        <f aca="false">SUMIFS('Loss time 07-10'!$Q$3:$Q$44,'Loss time 07-10'!$H$3:$H$44,$A23,'Loss time 07-10'!$G$3:$G$44,D$22)</f>
        <v>9</v>
      </c>
      <c r="E23" s="23" t="n">
        <f aca="false">SUMIFS('Loss time 07-10'!$Q$3:$Q$44,'Loss time 07-10'!$H$3:$H$44,$A23,'Loss time 07-10'!$G$3:$G$44,E$22)</f>
        <v>9.5</v>
      </c>
      <c r="F23" s="23" t="n">
        <f aca="false">SUMIFS('Loss time 07-10'!$Q$3:$Q$44,'Loss time 07-10'!$H$3:$H$44,$A23,'Loss time 07-10'!$G$3:$G$44,F$22)</f>
        <v>25</v>
      </c>
      <c r="G23" s="23" t="n">
        <f aca="false">SUMIFS('Loss time 07-10'!$Q$3:$Q$44,'Loss time 07-10'!$H$3:$H$44,$A23,'Loss time 07-10'!$G$3:$G$44,G$22)</f>
        <v>0</v>
      </c>
      <c r="H23" s="23" t="n">
        <f aca="false">SUMIFS('Loss time 07-10'!$Q$3:$Q$44,'Loss time 07-10'!$H$3:$H$44,$A23,'Loss time 07-10'!$G$3:$G$44,H$22)</f>
        <v>0</v>
      </c>
      <c r="I23" s="23" t="n">
        <f aca="false">SUMIFS('Loss time 07-10'!$Q$3:$Q$44,'Loss time 07-10'!$H$3:$H$44,$A23,'Loss time 07-10'!$G$3:$G$44,I$22)</f>
        <v>0</v>
      </c>
      <c r="J23" s="24" t="n">
        <f aca="false">SUM(C23:I23)</f>
        <v>47</v>
      </c>
    </row>
    <row r="24" customFormat="false" ht="15" hidden="false" customHeight="false" outlineLevel="0" collapsed="false">
      <c r="A24" s="22" t="s">
        <v>30</v>
      </c>
      <c r="B24" s="22" t="s">
        <v>31</v>
      </c>
      <c r="C24" s="23" t="n">
        <f aca="false">SUMIFS('Loss time 07-10'!$Q$3:$Q$44,'Loss time 07-10'!$H$3:$H$44,$A24,'Loss time 07-10'!$G$3:$G$44,C$22)</f>
        <v>12.5</v>
      </c>
      <c r="D24" s="23" t="n">
        <f aca="false">SUMIFS('Loss time 07-10'!$Q$3:$Q$44,'Loss time 07-10'!$H$3:$H$44,$A24,'Loss time 07-10'!$G$3:$G$44,D$22)</f>
        <v>112.5</v>
      </c>
      <c r="E24" s="23" t="n">
        <f aca="false">SUMIFS('Loss time 07-10'!$Q$3:$Q$44,'Loss time 07-10'!$H$3:$H$44,$A24,'Loss time 07-10'!$G$3:$G$44,E$22)</f>
        <v>75</v>
      </c>
      <c r="F24" s="23" t="n">
        <f aca="false">SUMIFS('Loss time 07-10'!$Q$3:$Q$44,'Loss time 07-10'!$H$3:$H$44,$A24,'Loss time 07-10'!$G$3:$G$44,F$22)</f>
        <v>25</v>
      </c>
      <c r="G24" s="23" t="n">
        <f aca="false">SUMIFS('Loss time 07-10'!$Q$3:$Q$44,'Loss time 07-10'!$H$3:$H$44,$A24,'Loss time 07-10'!$G$3:$G$44,G$22)</f>
        <v>0</v>
      </c>
      <c r="H24" s="23" t="n">
        <f aca="false">SUMIFS('Loss time 07-10'!$Q$3:$Q$44,'Loss time 07-10'!$H$3:$H$44,$A24,'Loss time 07-10'!$G$3:$G$44,H$22)</f>
        <v>0</v>
      </c>
      <c r="I24" s="23" t="n">
        <f aca="false">SUMIFS('Loss time 07-10'!$Q$3:$Q$44,'Loss time 07-10'!$H$3:$H$44,$A24,'Loss time 07-10'!$G$3:$G$44,I$22)</f>
        <v>0</v>
      </c>
      <c r="J24" s="24" t="n">
        <f aca="false">SUM(C24:I24)</f>
        <v>225</v>
      </c>
    </row>
    <row r="25" customFormat="false" ht="15" hidden="false" customHeight="false" outlineLevel="0" collapsed="false">
      <c r="A25" s="22" t="s">
        <v>48</v>
      </c>
      <c r="B25" s="22" t="s">
        <v>49</v>
      </c>
      <c r="C25" s="23" t="n">
        <f aca="false">SUMIFS('Loss time 07-10'!$Q$3:$Q$44,'Loss time 07-10'!$H$3:$H$44,$A25,'Loss time 07-10'!$G$3:$G$44,C$22)</f>
        <v>0</v>
      </c>
      <c r="D25" s="23" t="n">
        <f aca="false">SUMIFS('Loss time 07-10'!$Q$3:$Q$44,'Loss time 07-10'!$H$3:$H$44,$A25,'Loss time 07-10'!$G$3:$G$44,D$22)</f>
        <v>0</v>
      </c>
      <c r="E25" s="23" t="n">
        <f aca="false">SUMIFS('Loss time 07-10'!$Q$3:$Q$44,'Loss time 07-10'!$H$3:$H$44,$A25,'Loss time 07-10'!$G$3:$G$44,E$22)</f>
        <v>0</v>
      </c>
      <c r="F25" s="23" t="n">
        <f aca="false">SUMIFS('Loss time 07-10'!$Q$3:$Q$44,'Loss time 07-10'!$H$3:$H$44,$A25,'Loss time 07-10'!$G$3:$G$44,F$22)</f>
        <v>48</v>
      </c>
      <c r="G25" s="23" t="n">
        <f aca="false">SUMIFS('Loss time 07-10'!$Q$3:$Q$44,'Loss time 07-10'!$H$3:$H$44,$A25,'Loss time 07-10'!$G$3:$G$44,G$22)</f>
        <v>0</v>
      </c>
      <c r="H25" s="23" t="n">
        <f aca="false">SUMIFS('Loss time 07-10'!$Q$3:$Q$44,'Loss time 07-10'!$H$3:$H$44,$A25,'Loss time 07-10'!$G$3:$G$44,H$22)</f>
        <v>16</v>
      </c>
      <c r="I25" s="23" t="n">
        <f aca="false">SUMIFS('Loss time 07-10'!$Q$3:$Q$44,'Loss time 07-10'!$H$3:$H$44,$A25,'Loss time 07-10'!$G$3:$G$44,I$22)</f>
        <v>0</v>
      </c>
      <c r="J25" s="24" t="n">
        <f aca="false">SUM(C25:I25)</f>
        <v>64</v>
      </c>
    </row>
    <row r="26" customFormat="false" ht="15" hidden="false" customHeight="false" outlineLevel="0" collapsed="false">
      <c r="A26" s="22" t="s">
        <v>52</v>
      </c>
      <c r="B26" s="22" t="s">
        <v>53</v>
      </c>
      <c r="C26" s="23" t="n">
        <f aca="false">SUMIFS('Loss time 07-10'!$Q$3:$Q$44,'Loss time 07-10'!$H$3:$H$44,$A26,'Loss time 07-10'!$G$3:$G$44,C$22)</f>
        <v>0</v>
      </c>
      <c r="D26" s="23" t="n">
        <f aca="false">SUMIFS('Loss time 07-10'!$Q$3:$Q$44,'Loss time 07-10'!$H$3:$H$44,$A26,'Loss time 07-10'!$G$3:$G$44,D$22)</f>
        <v>0</v>
      </c>
      <c r="E26" s="23" t="n">
        <f aca="false">SUMIFS('Loss time 07-10'!$Q$3:$Q$44,'Loss time 07-10'!$H$3:$H$44,$A26,'Loss time 07-10'!$G$3:$G$44,E$22)</f>
        <v>99</v>
      </c>
      <c r="F26" s="23" t="n">
        <f aca="false">SUMIFS('Loss time 07-10'!$Q$3:$Q$44,'Loss time 07-10'!$H$3:$H$44,$A26,'Loss time 07-10'!$G$3:$G$44,F$22)</f>
        <v>144</v>
      </c>
      <c r="G26" s="23" t="n">
        <f aca="false">SUMIFS('Loss time 07-10'!$Q$3:$Q$44,'Loss time 07-10'!$H$3:$H$44,$A26,'Loss time 07-10'!$G$3:$G$44,G$22)</f>
        <v>22.5</v>
      </c>
      <c r="H26" s="23" t="n">
        <f aca="false">SUMIFS('Loss time 07-10'!$Q$3:$Q$44,'Loss time 07-10'!$H$3:$H$44,$A26,'Loss time 07-10'!$G$3:$G$44,H$22)</f>
        <v>36</v>
      </c>
      <c r="I26" s="23" t="n">
        <f aca="false">SUMIFS('Loss time 07-10'!$Q$3:$Q$44,'Loss time 07-10'!$H$3:$H$44,$A26,'Loss time 07-10'!$G$3:$G$44,I$22)</f>
        <v>0</v>
      </c>
      <c r="J26" s="24" t="n">
        <f aca="false">SUM(C26:I26)</f>
        <v>301.5</v>
      </c>
    </row>
    <row r="27" customFormat="false" ht="15" hidden="false" customHeight="false" outlineLevel="0" collapsed="false">
      <c r="A27" s="25" t="s">
        <v>75</v>
      </c>
      <c r="B27" s="25"/>
      <c r="C27" s="24" t="n">
        <f aca="false">SUM(C23:C26)</f>
        <v>16</v>
      </c>
      <c r="D27" s="24" t="n">
        <f aca="false">SUM(D23:D26)</f>
        <v>121.5</v>
      </c>
      <c r="E27" s="24" t="n">
        <f aca="false">SUM(E23:E26)</f>
        <v>183.5</v>
      </c>
      <c r="F27" s="24" t="n">
        <f aca="false">SUM(F23:F26)</f>
        <v>242</v>
      </c>
      <c r="G27" s="24" t="n">
        <f aca="false">SUM(G23:G26)</f>
        <v>22.5</v>
      </c>
      <c r="H27" s="24" t="n">
        <f aca="false">SUM(H23:H26)</f>
        <v>52</v>
      </c>
      <c r="I27" s="24" t="n">
        <f aca="false">SUM(I23:I26)</f>
        <v>0</v>
      </c>
      <c r="J27" s="24" t="n">
        <f aca="false">SUM(J23:J26)</f>
        <v>637.5</v>
      </c>
    </row>
    <row r="30" customFormat="false" ht="15" hidden="false" customHeight="false" outlineLevel="0" collapsed="false">
      <c r="A30" s="18" t="s">
        <v>210</v>
      </c>
    </row>
    <row r="31" customFormat="false" ht="25.35" hidden="false" customHeight="false" outlineLevel="0" collapsed="false">
      <c r="A31" s="2" t="s">
        <v>8</v>
      </c>
      <c r="B31" s="2" t="s">
        <v>207</v>
      </c>
      <c r="C31" s="2" t="s">
        <v>18</v>
      </c>
      <c r="D31" s="2" t="s">
        <v>23</v>
      </c>
      <c r="E31" s="2" t="s">
        <v>25</v>
      </c>
      <c r="F31" s="2" t="s">
        <v>28</v>
      </c>
      <c r="G31" s="2" t="s">
        <v>68</v>
      </c>
      <c r="H31" s="2" t="s">
        <v>72</v>
      </c>
      <c r="I31" s="2" t="s">
        <v>184</v>
      </c>
      <c r="J31" s="2" t="s">
        <v>75</v>
      </c>
    </row>
    <row r="32" customFormat="false" ht="15" hidden="false" customHeight="false" outlineLevel="0" collapsed="false">
      <c r="A32" s="22" t="s">
        <v>19</v>
      </c>
      <c r="B32" s="22" t="s">
        <v>20</v>
      </c>
      <c r="C32" s="23" t="n">
        <f aca="false">SUMIFS('Loss time 08-10'!$Q$3:$Q$44,'Loss time 08-10'!$H$3:$H$44,$A32,'Loss time 08-10'!$G$3:$G$44,C$31)</f>
        <v>3.5</v>
      </c>
      <c r="D32" s="23" t="n">
        <f aca="false">SUMIFS('Loss time 08-10'!$Q$3:$Q$44,'Loss time 08-10'!$H$3:$H$44,$A32,'Loss time 08-10'!$G$3:$G$44,D$31)</f>
        <v>9</v>
      </c>
      <c r="E32" s="23" t="n">
        <f aca="false">SUMIFS('Loss time 08-10'!$Q$3:$Q$44,'Loss time 08-10'!$H$3:$H$44,$A32,'Loss time 08-10'!$G$3:$G$44,E$31)</f>
        <v>9.5</v>
      </c>
      <c r="F32" s="23" t="n">
        <f aca="false">SUMIFS('Loss time 08-10'!$Q$3:$Q$44,'Loss time 08-10'!$H$3:$H$44,$A32,'Loss time 08-10'!$G$3:$G$44,F$31)</f>
        <v>25</v>
      </c>
      <c r="G32" s="23" t="n">
        <f aca="false">SUMIFS('Loss time 08-10'!$Q$3:$Q$44,'Loss time 08-10'!$H$3:$H$44,$A32,'Loss time 08-10'!$G$3:$G$44,G$31)</f>
        <v>0</v>
      </c>
      <c r="H32" s="23" t="n">
        <f aca="false">SUMIFS('Loss time 08-10'!$Q$3:$Q$44,'Loss time 08-10'!$H$3:$H$44,$A32,'Loss time 08-10'!$G$3:$G$44,H$31)</f>
        <v>0</v>
      </c>
      <c r="I32" s="23" t="n">
        <f aca="false">SUMIFS('Loss time 08-10'!$Q$3:$Q$44,'Loss time 08-10'!$H$3:$H$44,$A32,'Loss time 08-10'!$G$3:$G$44,I$31)</f>
        <v>0</v>
      </c>
      <c r="J32" s="24" t="n">
        <f aca="false">SUM(C32:I32)</f>
        <v>47</v>
      </c>
    </row>
    <row r="33" customFormat="false" ht="15" hidden="false" customHeight="false" outlineLevel="0" collapsed="false">
      <c r="A33" s="22" t="s">
        <v>30</v>
      </c>
      <c r="B33" s="22" t="s">
        <v>31</v>
      </c>
      <c r="C33" s="23" t="n">
        <f aca="false">SUMIFS('Loss time 08-10'!$Q$3:$Q$44,'Loss time 08-10'!$H$3:$H$44,$A33,'Loss time 08-10'!$G$3:$G$44,C$31)</f>
        <v>12.5</v>
      </c>
      <c r="D33" s="23" t="n">
        <f aca="false">SUMIFS('Loss time 08-10'!$Q$3:$Q$44,'Loss time 08-10'!$H$3:$H$44,$A33,'Loss time 08-10'!$G$3:$G$44,D$31)</f>
        <v>112.5</v>
      </c>
      <c r="E33" s="23" t="n">
        <f aca="false">SUMIFS('Loss time 08-10'!$Q$3:$Q$44,'Loss time 08-10'!$H$3:$H$44,$A33,'Loss time 08-10'!$G$3:$G$44,E$31)</f>
        <v>75</v>
      </c>
      <c r="F33" s="23" t="n">
        <f aca="false">SUMIFS('Loss time 08-10'!$Q$3:$Q$44,'Loss time 08-10'!$H$3:$H$44,$A33,'Loss time 08-10'!$G$3:$G$44,F$31)</f>
        <v>25</v>
      </c>
      <c r="G33" s="23" t="n">
        <f aca="false">SUMIFS('Loss time 08-10'!$Q$3:$Q$44,'Loss time 08-10'!$H$3:$H$44,$A33,'Loss time 08-10'!$G$3:$G$44,G$31)</f>
        <v>0</v>
      </c>
      <c r="H33" s="23" t="n">
        <f aca="false">SUMIFS('Loss time 08-10'!$Q$3:$Q$44,'Loss time 08-10'!$H$3:$H$44,$A33,'Loss time 08-10'!$G$3:$G$44,H$31)</f>
        <v>0</v>
      </c>
      <c r="I33" s="23" t="n">
        <f aca="false">SUMIFS('Loss time 08-10'!$Q$3:$Q$44,'Loss time 08-10'!$H$3:$H$44,$A33,'Loss time 08-10'!$G$3:$G$44,I$31)</f>
        <v>0</v>
      </c>
      <c r="J33" s="24" t="n">
        <f aca="false">SUM(C33:I33)</f>
        <v>225</v>
      </c>
    </row>
    <row r="34" customFormat="false" ht="15" hidden="false" customHeight="false" outlineLevel="0" collapsed="false">
      <c r="A34" s="22" t="s">
        <v>48</v>
      </c>
      <c r="B34" s="22" t="s">
        <v>49</v>
      </c>
      <c r="C34" s="23" t="n">
        <f aca="false">SUMIFS('Loss time 08-10'!$Q$3:$Q$44,'Loss time 08-10'!$H$3:$H$44,$A34,'Loss time 08-10'!$G$3:$G$44,C$31)</f>
        <v>0</v>
      </c>
      <c r="D34" s="23" t="n">
        <f aca="false">SUMIFS('Loss time 08-10'!$Q$3:$Q$44,'Loss time 08-10'!$H$3:$H$44,$A34,'Loss time 08-10'!$G$3:$G$44,D$31)</f>
        <v>0</v>
      </c>
      <c r="E34" s="23" t="n">
        <f aca="false">SUMIFS('Loss time 08-10'!$Q$3:$Q$44,'Loss time 08-10'!$H$3:$H$44,$A34,'Loss time 08-10'!$G$3:$G$44,E$31)</f>
        <v>24</v>
      </c>
      <c r="F34" s="23" t="n">
        <f aca="false">SUMIFS('Loss time 08-10'!$Q$3:$Q$44,'Loss time 08-10'!$H$3:$H$44,$A34,'Loss time 08-10'!$G$3:$G$44,F$31)</f>
        <v>0</v>
      </c>
      <c r="G34" s="23" t="n">
        <f aca="false">SUMIFS('Loss time 08-10'!$Q$3:$Q$44,'Loss time 08-10'!$H$3:$H$44,$A34,'Loss time 08-10'!$G$3:$G$44,G$31)</f>
        <v>0</v>
      </c>
      <c r="H34" s="23" t="n">
        <f aca="false">SUMIFS('Loss time 08-10'!$Q$3:$Q$44,'Loss time 08-10'!$H$3:$H$44,$A34,'Loss time 08-10'!$G$3:$G$44,H$31)</f>
        <v>8</v>
      </c>
      <c r="I34" s="23" t="n">
        <f aca="false">SUMIFS('Loss time 08-10'!$Q$3:$Q$44,'Loss time 08-10'!$H$3:$H$44,$A34,'Loss time 08-10'!$G$3:$G$44,I$31)</f>
        <v>0</v>
      </c>
      <c r="J34" s="24" t="n">
        <f aca="false">SUM(C34:I34)</f>
        <v>32</v>
      </c>
    </row>
    <row r="35" customFormat="false" ht="15" hidden="false" customHeight="false" outlineLevel="0" collapsed="false">
      <c r="A35" s="22" t="s">
        <v>52</v>
      </c>
      <c r="B35" s="22" t="s">
        <v>53</v>
      </c>
      <c r="C35" s="23" t="n">
        <f aca="false">SUMIFS('Loss time 08-10'!$Q$3:$Q$44,'Loss time 08-10'!$H$3:$H$44,$A35,'Loss time 08-10'!$G$3:$G$44,C$31)</f>
        <v>0</v>
      </c>
      <c r="D35" s="23" t="n">
        <f aca="false">SUMIFS('Loss time 08-10'!$Q$3:$Q$44,'Loss time 08-10'!$H$3:$H$44,$A35,'Loss time 08-10'!$G$3:$G$44,D$31)</f>
        <v>0</v>
      </c>
      <c r="E35" s="23" t="n">
        <f aca="false">SUMIFS('Loss time 08-10'!$Q$3:$Q$44,'Loss time 08-10'!$H$3:$H$44,$A35,'Loss time 08-10'!$G$3:$G$44,E$31)</f>
        <v>58.5</v>
      </c>
      <c r="F35" s="23" t="n">
        <f aca="false">SUMIFS('Loss time 08-10'!$Q$3:$Q$44,'Loss time 08-10'!$H$3:$H$44,$A35,'Loss time 08-10'!$G$3:$G$44,F$31)</f>
        <v>157.5</v>
      </c>
      <c r="G35" s="23" t="n">
        <f aca="false">SUMIFS('Loss time 08-10'!$Q$3:$Q$44,'Loss time 08-10'!$H$3:$H$44,$A35,'Loss time 08-10'!$G$3:$G$44,G$31)</f>
        <v>22.5</v>
      </c>
      <c r="H35" s="23" t="n">
        <f aca="false">SUMIFS('Loss time 08-10'!$Q$3:$Q$44,'Loss time 08-10'!$H$3:$H$44,$A35,'Loss time 08-10'!$G$3:$G$44,H$31)</f>
        <v>45</v>
      </c>
      <c r="I35" s="23" t="n">
        <f aca="false">SUMIFS('Loss time 08-10'!$Q$3:$Q$44,'Loss time 08-10'!$H$3:$H$44,$A35,'Loss time 08-10'!$G$3:$G$44,I$31)</f>
        <v>0</v>
      </c>
      <c r="J35" s="24" t="n">
        <f aca="false">SUM(C35:I35)</f>
        <v>283.5</v>
      </c>
    </row>
    <row r="36" customFormat="false" ht="15" hidden="false" customHeight="false" outlineLevel="0" collapsed="false">
      <c r="A36" s="25" t="s">
        <v>75</v>
      </c>
      <c r="B36" s="25"/>
      <c r="C36" s="24" t="n">
        <f aca="false">SUM(C32:C35)</f>
        <v>16</v>
      </c>
      <c r="D36" s="24" t="n">
        <f aca="false">SUM(D32:D35)</f>
        <v>121.5</v>
      </c>
      <c r="E36" s="24" t="n">
        <f aca="false">SUM(E32:E35)</f>
        <v>167</v>
      </c>
      <c r="F36" s="24" t="n">
        <f aca="false">SUM(F32:F35)</f>
        <v>207.5</v>
      </c>
      <c r="G36" s="24" t="n">
        <f aca="false">SUM(G32:G35)</f>
        <v>22.5</v>
      </c>
      <c r="H36" s="24" t="n">
        <f aca="false">SUM(H32:H35)</f>
        <v>53</v>
      </c>
      <c r="I36" s="24" t="n">
        <f aca="false">SUM(I32:I35)</f>
        <v>0</v>
      </c>
      <c r="J36" s="24" t="n">
        <f aca="false">SUM(J32:J35)</f>
        <v>587.5</v>
      </c>
    </row>
    <row r="39" customFormat="false" ht="15" hidden="false" customHeight="false" outlineLevel="0" collapsed="false">
      <c r="A39" s="18" t="s">
        <v>211</v>
      </c>
    </row>
    <row r="40" customFormat="false" ht="25.35" hidden="false" customHeight="false" outlineLevel="0" collapsed="false">
      <c r="A40" s="2" t="s">
        <v>8</v>
      </c>
      <c r="B40" s="2" t="s">
        <v>207</v>
      </c>
      <c r="C40" s="2" t="s">
        <v>18</v>
      </c>
      <c r="D40" s="2" t="s">
        <v>23</v>
      </c>
      <c r="E40" s="2" t="s">
        <v>25</v>
      </c>
      <c r="F40" s="2" t="s">
        <v>28</v>
      </c>
      <c r="G40" s="2" t="s">
        <v>68</v>
      </c>
      <c r="H40" s="2" t="s">
        <v>72</v>
      </c>
      <c r="I40" s="2" t="s">
        <v>184</v>
      </c>
      <c r="J40" s="2" t="s">
        <v>75</v>
      </c>
    </row>
    <row r="41" customFormat="false" ht="15" hidden="false" customHeight="false" outlineLevel="0" collapsed="false">
      <c r="A41" s="22" t="s">
        <v>19</v>
      </c>
      <c r="B41" s="22" t="s">
        <v>20</v>
      </c>
      <c r="C41" s="23" t="n">
        <f aca="false">SUMIFS('Loss time 09-10'!$Q$3:$Q$44,'Loss time 09-10'!$H$3:$H$44,$A41,'Loss time 09-10'!$G$3:$G$44,C$40)</f>
        <v>3.5</v>
      </c>
      <c r="D41" s="23" t="n">
        <f aca="false">SUMIFS('Loss time 09-10'!$Q$3:$Q$44,'Loss time 09-10'!$H$3:$H$44,$A41,'Loss time 09-10'!$G$3:$G$44,D$40)</f>
        <v>9</v>
      </c>
      <c r="E41" s="23" t="n">
        <f aca="false">SUMIFS('Loss time 09-10'!$Q$3:$Q$44,'Loss time 09-10'!$H$3:$H$44,$A41,'Loss time 09-10'!$G$3:$G$44,E$40)</f>
        <v>9.5</v>
      </c>
      <c r="F41" s="23" t="n">
        <f aca="false">SUMIFS('Loss time 09-10'!$Q$3:$Q$44,'Loss time 09-10'!$H$3:$H$44,$A41,'Loss time 09-10'!$G$3:$G$44,F$40)</f>
        <v>25</v>
      </c>
      <c r="G41" s="23" t="n">
        <f aca="false">SUMIFS('Loss time 09-10'!$Q$3:$Q$44,'Loss time 09-10'!$H$3:$H$44,$A41,'Loss time 09-10'!$G$3:$G$44,G$40)</f>
        <v>0</v>
      </c>
      <c r="H41" s="23" t="n">
        <f aca="false">SUMIFS('Loss time 09-10'!$Q$3:$Q$44,'Loss time 09-10'!$H$3:$H$44,$A41,'Loss time 09-10'!$G$3:$G$44,H$40)</f>
        <v>0</v>
      </c>
      <c r="I41" s="23" t="n">
        <f aca="false">SUMIFS('Loss time 09-10'!$Q$3:$Q$44,'Loss time 09-10'!$H$3:$H$44,$A41,'Loss time 09-10'!$G$3:$G$44,I$40)</f>
        <v>0</v>
      </c>
      <c r="J41" s="24" t="n">
        <f aca="false">SUM(C41:I41)</f>
        <v>47</v>
      </c>
    </row>
    <row r="42" customFormat="false" ht="15" hidden="false" customHeight="false" outlineLevel="0" collapsed="false">
      <c r="A42" s="22" t="s">
        <v>30</v>
      </c>
      <c r="B42" s="22" t="s">
        <v>31</v>
      </c>
      <c r="C42" s="23" t="n">
        <f aca="false">SUMIFS('Loss time 09-10'!$Q$3:$Q$44,'Loss time 09-10'!$H$3:$H$44,$A42,'Loss time 09-10'!$G$3:$G$44,C$40)</f>
        <v>12.5</v>
      </c>
      <c r="D42" s="23" t="n">
        <f aca="false">SUMIFS('Loss time 09-10'!$Q$3:$Q$44,'Loss time 09-10'!$H$3:$H$44,$A42,'Loss time 09-10'!$G$3:$G$44,D$40)</f>
        <v>112.5</v>
      </c>
      <c r="E42" s="23" t="n">
        <f aca="false">SUMIFS('Loss time 09-10'!$Q$3:$Q$44,'Loss time 09-10'!$H$3:$H$44,$A42,'Loss time 09-10'!$G$3:$G$44,E$40)</f>
        <v>75</v>
      </c>
      <c r="F42" s="23" t="n">
        <f aca="false">SUMIFS('Loss time 09-10'!$Q$3:$Q$44,'Loss time 09-10'!$H$3:$H$44,$A42,'Loss time 09-10'!$G$3:$G$44,F$40)</f>
        <v>25</v>
      </c>
      <c r="G42" s="23" t="n">
        <f aca="false">SUMIFS('Loss time 09-10'!$Q$3:$Q$44,'Loss time 09-10'!$H$3:$H$44,$A42,'Loss time 09-10'!$G$3:$G$44,G$40)</f>
        <v>0</v>
      </c>
      <c r="H42" s="23" t="n">
        <f aca="false">SUMIFS('Loss time 09-10'!$Q$3:$Q$44,'Loss time 09-10'!$H$3:$H$44,$A42,'Loss time 09-10'!$G$3:$G$44,H$40)</f>
        <v>0</v>
      </c>
      <c r="I42" s="23" t="n">
        <f aca="false">SUMIFS('Loss time 09-10'!$Q$3:$Q$44,'Loss time 09-10'!$H$3:$H$44,$A42,'Loss time 09-10'!$G$3:$G$44,I$40)</f>
        <v>0</v>
      </c>
      <c r="J42" s="24" t="n">
        <f aca="false">SUM(C42:I42)</f>
        <v>225</v>
      </c>
    </row>
    <row r="43" customFormat="false" ht="15" hidden="false" customHeight="false" outlineLevel="0" collapsed="false">
      <c r="A43" s="22" t="s">
        <v>48</v>
      </c>
      <c r="B43" s="22" t="s">
        <v>49</v>
      </c>
      <c r="C43" s="23" t="n">
        <f aca="false">SUMIFS('Loss time 09-10'!$Q$3:$Q$44,'Loss time 09-10'!$H$3:$H$44,$A43,'Loss time 09-10'!$G$3:$G$44,C$40)</f>
        <v>0</v>
      </c>
      <c r="D43" s="23" t="n">
        <f aca="false">SUMIFS('Loss time 09-10'!$Q$3:$Q$44,'Loss time 09-10'!$H$3:$H$44,$A43,'Loss time 09-10'!$G$3:$G$44,D$40)</f>
        <v>0</v>
      </c>
      <c r="E43" s="23" t="n">
        <f aca="false">SUMIFS('Loss time 09-10'!$Q$3:$Q$44,'Loss time 09-10'!$H$3:$H$44,$A43,'Loss time 09-10'!$G$3:$G$44,E$40)</f>
        <v>0</v>
      </c>
      <c r="F43" s="23" t="n">
        <f aca="false">SUMIFS('Loss time 09-10'!$Q$3:$Q$44,'Loss time 09-10'!$H$3:$H$44,$A43,'Loss time 09-10'!$G$3:$G$44,F$40)</f>
        <v>0</v>
      </c>
      <c r="G43" s="23" t="n">
        <f aca="false">SUMIFS('Loss time 09-10'!$Q$3:$Q$44,'Loss time 09-10'!$H$3:$H$44,$A43,'Loss time 09-10'!$G$3:$G$44,G$40)</f>
        <v>0</v>
      </c>
      <c r="H43" s="23" t="n">
        <f aca="false">SUMIFS('Loss time 09-10'!$Q$3:$Q$44,'Loss time 09-10'!$H$3:$H$44,$A43,'Loss time 09-10'!$G$3:$G$44,H$40)</f>
        <v>0</v>
      </c>
      <c r="I43" s="23" t="n">
        <f aca="false">SUMIFS('Loss time 09-10'!$Q$3:$Q$44,'Loss time 09-10'!$H$3:$H$44,$A43,'Loss time 09-10'!$G$3:$G$44,I$40)</f>
        <v>0</v>
      </c>
      <c r="J43" s="24" t="n">
        <f aca="false">SUM(C43:I43)</f>
        <v>0</v>
      </c>
    </row>
    <row r="44" customFormat="false" ht="15" hidden="false" customHeight="false" outlineLevel="0" collapsed="false">
      <c r="A44" s="22" t="s">
        <v>52</v>
      </c>
      <c r="B44" s="22" t="s">
        <v>53</v>
      </c>
      <c r="C44" s="23" t="n">
        <f aca="false">SUMIFS('Loss time 09-10'!$Q$3:$Q$44,'Loss time 09-10'!$H$3:$H$44,$A44,'Loss time 09-10'!$G$3:$G$44,C$40)</f>
        <v>0</v>
      </c>
      <c r="D44" s="23" t="n">
        <f aca="false">SUMIFS('Loss time 09-10'!$Q$3:$Q$44,'Loss time 09-10'!$H$3:$H$44,$A44,'Loss time 09-10'!$G$3:$G$44,D$40)</f>
        <v>0</v>
      </c>
      <c r="E44" s="23" t="n">
        <f aca="false">SUMIFS('Loss time 09-10'!$Q$3:$Q$44,'Loss time 09-10'!$H$3:$H$44,$A44,'Loss time 09-10'!$G$3:$G$44,E$40)</f>
        <v>72</v>
      </c>
      <c r="F44" s="23" t="n">
        <f aca="false">SUMIFS('Loss time 09-10'!$Q$3:$Q$44,'Loss time 09-10'!$H$3:$H$44,$A44,'Loss time 09-10'!$G$3:$G$44,F$40)</f>
        <v>157.5</v>
      </c>
      <c r="G44" s="23" t="n">
        <f aca="false">SUMIFS('Loss time 09-10'!$Q$3:$Q$44,'Loss time 09-10'!$H$3:$H$44,$A44,'Loss time 09-10'!$G$3:$G$44,G$40)</f>
        <v>22.5</v>
      </c>
      <c r="H44" s="23" t="n">
        <f aca="false">SUMIFS('Loss time 09-10'!$Q$3:$Q$44,'Loss time 09-10'!$H$3:$H$44,$A44,'Loss time 09-10'!$G$3:$G$44,H$40)</f>
        <v>49.5</v>
      </c>
      <c r="I44" s="23" t="n">
        <f aca="false">SUMIFS('Loss time 09-10'!$Q$3:$Q$44,'Loss time 09-10'!$H$3:$H$44,$A44,'Loss time 09-10'!$G$3:$G$44,I$40)</f>
        <v>0</v>
      </c>
      <c r="J44" s="24" t="n">
        <f aca="false">SUM(C44:I44)</f>
        <v>301.5</v>
      </c>
    </row>
    <row r="45" customFormat="false" ht="15" hidden="false" customHeight="false" outlineLevel="0" collapsed="false">
      <c r="A45" s="25" t="s">
        <v>75</v>
      </c>
      <c r="B45" s="25"/>
      <c r="C45" s="24" t="n">
        <f aca="false">SUM(C41:C44)</f>
        <v>16</v>
      </c>
      <c r="D45" s="24" t="n">
        <f aca="false">SUM(D41:D44)</f>
        <v>121.5</v>
      </c>
      <c r="E45" s="24" t="n">
        <f aca="false">SUM(E41:E44)</f>
        <v>156.5</v>
      </c>
      <c r="F45" s="24" t="n">
        <f aca="false">SUM(F41:F44)</f>
        <v>207.5</v>
      </c>
      <c r="G45" s="24" t="n">
        <f aca="false">SUM(G41:G44)</f>
        <v>22.5</v>
      </c>
      <c r="H45" s="24" t="n">
        <f aca="false">SUM(H41:H44)</f>
        <v>49.5</v>
      </c>
      <c r="I45" s="24" t="n">
        <f aca="false">SUM(I41:I44)</f>
        <v>0</v>
      </c>
      <c r="J45" s="24" t="n">
        <f aca="false">SUM(J41:J44)</f>
        <v>573.5</v>
      </c>
    </row>
    <row r="48" customFormat="false" ht="15" hidden="false" customHeight="false" outlineLevel="0" collapsed="false">
      <c r="A48" s="18" t="s">
        <v>212</v>
      </c>
    </row>
    <row r="49" customFormat="false" ht="25.35" hidden="false" customHeight="false" outlineLevel="0" collapsed="false">
      <c r="A49" s="2" t="s">
        <v>8</v>
      </c>
      <c r="B49" s="2" t="s">
        <v>207</v>
      </c>
      <c r="C49" s="2" t="s">
        <v>18</v>
      </c>
      <c r="D49" s="2" t="s">
        <v>23</v>
      </c>
      <c r="E49" s="2" t="s">
        <v>25</v>
      </c>
      <c r="F49" s="2" t="s">
        <v>28</v>
      </c>
      <c r="G49" s="2" t="s">
        <v>68</v>
      </c>
      <c r="H49" s="2" t="s">
        <v>72</v>
      </c>
      <c r="I49" s="2" t="s">
        <v>184</v>
      </c>
      <c r="J49" s="2" t="s">
        <v>75</v>
      </c>
    </row>
    <row r="50" customFormat="false" ht="15" hidden="false" customHeight="false" outlineLevel="0" collapsed="false">
      <c r="A50" s="22" t="s">
        <v>19</v>
      </c>
      <c r="B50" s="22" t="s">
        <v>20</v>
      </c>
      <c r="C50" s="23" t="n">
        <f aca="false">SUMIFS('Loss time 10-10'!$Q$3:$Q$44,'Loss time 10-10'!$H$3:$H$44,$A50,'Loss time 10-10'!$G$3:$G$44,C$49)</f>
        <v>3.5</v>
      </c>
      <c r="D50" s="23" t="n">
        <f aca="false">SUMIFS('Loss time 10-10'!$Q$3:$Q$44,'Loss time 10-10'!$H$3:$H$44,$A50,'Loss time 10-10'!$G$3:$G$44,D$49)</f>
        <v>9</v>
      </c>
      <c r="E50" s="23" t="n">
        <f aca="false">SUMIFS('Loss time 10-10'!$Q$3:$Q$44,'Loss time 10-10'!$H$3:$H$44,$A50,'Loss time 10-10'!$G$3:$G$44,E$49)</f>
        <v>9.5</v>
      </c>
      <c r="F50" s="23" t="n">
        <f aca="false">SUMIFS('Loss time 10-10'!$Q$3:$Q$44,'Loss time 10-10'!$H$3:$H$44,$A50,'Loss time 10-10'!$G$3:$G$44,F$49)</f>
        <v>16</v>
      </c>
      <c r="G50" s="23" t="n">
        <f aca="false">SUMIFS('Loss time 10-10'!$Q$3:$Q$44,'Loss time 10-10'!$H$3:$H$44,$A50,'Loss time 10-10'!$G$3:$G$44,G$49)</f>
        <v>0</v>
      </c>
      <c r="H50" s="23" t="n">
        <f aca="false">SUMIFS('Loss time 10-10'!$Q$3:$Q$44,'Loss time 10-10'!$H$3:$H$44,$A50,'Loss time 10-10'!$G$3:$G$44,H$49)</f>
        <v>0</v>
      </c>
      <c r="I50" s="23" t="n">
        <f aca="false">SUMIFS('Loss time 10-10'!$Q$3:$Q$44,'Loss time 10-10'!$H$3:$H$44,$A50,'Loss time 10-10'!$G$3:$G$44,I$49)</f>
        <v>0</v>
      </c>
      <c r="J50" s="24" t="n">
        <f aca="false">SUM(C50:I50)</f>
        <v>38</v>
      </c>
    </row>
    <row r="51" customFormat="false" ht="15" hidden="false" customHeight="false" outlineLevel="0" collapsed="false">
      <c r="A51" s="22" t="s">
        <v>30</v>
      </c>
      <c r="B51" s="22" t="s">
        <v>31</v>
      </c>
      <c r="C51" s="23" t="n">
        <f aca="false">SUMIFS('Loss time 10-10'!$Q$3:$Q$44,'Loss time 10-10'!$H$3:$H$44,$A51,'Loss time 10-10'!$G$3:$G$44,C$49)</f>
        <v>8</v>
      </c>
      <c r="D51" s="23" t="n">
        <f aca="false">SUMIFS('Loss time 10-10'!$Q$3:$Q$44,'Loss time 10-10'!$H$3:$H$44,$A51,'Loss time 10-10'!$G$3:$G$44,D$49)</f>
        <v>72</v>
      </c>
      <c r="E51" s="23" t="n">
        <f aca="false">SUMIFS('Loss time 10-10'!$Q$3:$Q$44,'Loss time 10-10'!$H$3:$H$44,$A51,'Loss time 10-10'!$G$3:$G$44,E$49)</f>
        <v>48</v>
      </c>
      <c r="F51" s="23" t="n">
        <f aca="false">SUMIFS('Loss time 10-10'!$Q$3:$Q$44,'Loss time 10-10'!$H$3:$H$44,$A51,'Loss time 10-10'!$G$3:$G$44,F$49)</f>
        <v>16</v>
      </c>
      <c r="G51" s="23" t="n">
        <f aca="false">SUMIFS('Loss time 10-10'!$Q$3:$Q$44,'Loss time 10-10'!$H$3:$H$44,$A51,'Loss time 10-10'!$G$3:$G$44,G$49)</f>
        <v>0</v>
      </c>
      <c r="H51" s="23" t="n">
        <f aca="false">SUMIFS('Loss time 10-10'!$Q$3:$Q$44,'Loss time 10-10'!$H$3:$H$44,$A51,'Loss time 10-10'!$G$3:$G$44,H$49)</f>
        <v>0</v>
      </c>
      <c r="I51" s="23" t="n">
        <f aca="false">SUMIFS('Loss time 10-10'!$Q$3:$Q$44,'Loss time 10-10'!$H$3:$H$44,$A51,'Loss time 10-10'!$G$3:$G$44,I$49)</f>
        <v>0</v>
      </c>
      <c r="J51" s="24" t="n">
        <f aca="false">SUM(C51:I51)</f>
        <v>144</v>
      </c>
    </row>
    <row r="52" customFormat="false" ht="15" hidden="false" customHeight="false" outlineLevel="0" collapsed="false">
      <c r="A52" s="22" t="s">
        <v>48</v>
      </c>
      <c r="B52" s="22" t="s">
        <v>49</v>
      </c>
      <c r="C52" s="23" t="n">
        <f aca="false">SUMIFS('Loss time 10-10'!$Q$3:$Q$44,'Loss time 10-10'!$H$3:$H$44,$A52,'Loss time 10-10'!$G$3:$G$44,C$49)</f>
        <v>0</v>
      </c>
      <c r="D52" s="23" t="n">
        <f aca="false">SUMIFS('Loss time 10-10'!$Q$3:$Q$44,'Loss time 10-10'!$H$3:$H$44,$A52,'Loss time 10-10'!$G$3:$G$44,D$49)</f>
        <v>0</v>
      </c>
      <c r="E52" s="23" t="n">
        <f aca="false">SUMIFS('Loss time 10-10'!$Q$3:$Q$44,'Loss time 10-10'!$H$3:$H$44,$A52,'Loss time 10-10'!$G$3:$G$44,E$49)</f>
        <v>0</v>
      </c>
      <c r="F52" s="23" t="n">
        <f aca="false">SUMIFS('Loss time 10-10'!$Q$3:$Q$44,'Loss time 10-10'!$H$3:$H$44,$A52,'Loss time 10-10'!$G$3:$G$44,F$49)</f>
        <v>0</v>
      </c>
      <c r="G52" s="23" t="n">
        <f aca="false">SUMIFS('Loss time 10-10'!$Q$3:$Q$44,'Loss time 10-10'!$H$3:$H$44,$A52,'Loss time 10-10'!$G$3:$G$44,G$49)</f>
        <v>0</v>
      </c>
      <c r="H52" s="23" t="n">
        <f aca="false">SUMIFS('Loss time 10-10'!$Q$3:$Q$44,'Loss time 10-10'!$H$3:$H$44,$A52,'Loss time 10-10'!$G$3:$G$44,H$49)</f>
        <v>0</v>
      </c>
      <c r="I52" s="23" t="n">
        <f aca="false">SUMIFS('Loss time 10-10'!$Q$3:$Q$44,'Loss time 10-10'!$H$3:$H$44,$A52,'Loss time 10-10'!$G$3:$G$44,I$49)</f>
        <v>0</v>
      </c>
      <c r="J52" s="24" t="n">
        <f aca="false">SUM(C52:I52)</f>
        <v>0</v>
      </c>
    </row>
    <row r="53" customFormat="false" ht="15" hidden="false" customHeight="false" outlineLevel="0" collapsed="false">
      <c r="A53" s="22" t="s">
        <v>52</v>
      </c>
      <c r="B53" s="22" t="s">
        <v>53</v>
      </c>
      <c r="C53" s="23" t="n">
        <f aca="false">SUMIFS('Loss time 10-10'!$Q$3:$Q$44,'Loss time 10-10'!$H$3:$H$44,$A53,'Loss time 10-10'!$G$3:$G$44,C$49)</f>
        <v>0</v>
      </c>
      <c r="D53" s="23" t="n">
        <f aca="false">SUMIFS('Loss time 10-10'!$Q$3:$Q$44,'Loss time 10-10'!$H$3:$H$44,$A53,'Loss time 10-10'!$G$3:$G$44,D$49)</f>
        <v>0</v>
      </c>
      <c r="E53" s="23" t="n">
        <f aca="false">SUMIFS('Loss time 10-10'!$Q$3:$Q$44,'Loss time 10-10'!$H$3:$H$44,$A53,'Loss time 10-10'!$G$3:$G$44,E$49)</f>
        <v>72</v>
      </c>
      <c r="F53" s="23" t="n">
        <f aca="false">SUMIFS('Loss time 10-10'!$Q$3:$Q$44,'Loss time 10-10'!$H$3:$H$44,$A53,'Loss time 10-10'!$G$3:$G$44,F$49)</f>
        <v>157.5</v>
      </c>
      <c r="G53" s="23" t="n">
        <f aca="false">SUMIFS('Loss time 10-10'!$Q$3:$Q$44,'Loss time 10-10'!$H$3:$H$44,$A53,'Loss time 10-10'!$G$3:$G$44,G$49)</f>
        <v>22.5</v>
      </c>
      <c r="H53" s="23" t="n">
        <f aca="false">SUMIFS('Loss time 10-10'!$Q$3:$Q$44,'Loss time 10-10'!$H$3:$H$44,$A53,'Loss time 10-10'!$G$3:$G$44,H$49)</f>
        <v>49.5</v>
      </c>
      <c r="I53" s="23" t="n">
        <f aca="false">SUMIFS('Loss time 10-10'!$Q$3:$Q$44,'Loss time 10-10'!$H$3:$H$44,$A53,'Loss time 10-10'!$G$3:$G$44,I$49)</f>
        <v>0</v>
      </c>
      <c r="J53" s="24" t="n">
        <f aca="false">SUM(C53:I53)</f>
        <v>301.5</v>
      </c>
    </row>
    <row r="54" customFormat="false" ht="15" hidden="false" customHeight="false" outlineLevel="0" collapsed="false">
      <c r="A54" s="25" t="s">
        <v>75</v>
      </c>
      <c r="B54" s="25"/>
      <c r="C54" s="24" t="n">
        <f aca="false">SUM(C50:C53)</f>
        <v>11.5</v>
      </c>
      <c r="D54" s="24" t="n">
        <f aca="false">SUM(D50:D53)</f>
        <v>81</v>
      </c>
      <c r="E54" s="24" t="n">
        <f aca="false">SUM(E50:E53)</f>
        <v>129.5</v>
      </c>
      <c r="F54" s="24" t="n">
        <f aca="false">SUM(F50:F53)</f>
        <v>189.5</v>
      </c>
      <c r="G54" s="24" t="n">
        <f aca="false">SUM(G50:G53)</f>
        <v>22.5</v>
      </c>
      <c r="H54" s="24" t="n">
        <f aca="false">SUM(H50:H53)</f>
        <v>49.5</v>
      </c>
      <c r="I54" s="24" t="n">
        <f aca="false">SUM(I50:I53)</f>
        <v>0</v>
      </c>
      <c r="J54" s="24" t="n">
        <f aca="false">SUM(J50:J53)</f>
        <v>483.5</v>
      </c>
    </row>
    <row r="57" customFormat="false" ht="15" hidden="false" customHeight="false" outlineLevel="0" collapsed="false">
      <c r="A57" s="18" t="s">
        <v>213</v>
      </c>
    </row>
    <row r="58" customFormat="false" ht="25.35" hidden="false" customHeight="false" outlineLevel="0" collapsed="false">
      <c r="A58" s="2" t="s">
        <v>8</v>
      </c>
      <c r="B58" s="2" t="s">
        <v>207</v>
      </c>
      <c r="C58" s="2" t="s">
        <v>18</v>
      </c>
      <c r="D58" s="2" t="s">
        <v>23</v>
      </c>
      <c r="E58" s="2" t="s">
        <v>25</v>
      </c>
      <c r="F58" s="2" t="s">
        <v>28</v>
      </c>
      <c r="G58" s="2" t="s">
        <v>68</v>
      </c>
      <c r="H58" s="2" t="s">
        <v>72</v>
      </c>
      <c r="I58" s="2" t="s">
        <v>184</v>
      </c>
      <c r="J58" s="2" t="s">
        <v>75</v>
      </c>
    </row>
    <row r="59" customFormat="false" ht="15" hidden="false" customHeight="false" outlineLevel="0" collapsed="false">
      <c r="A59" s="22" t="s">
        <v>19</v>
      </c>
      <c r="B59" s="22" t="s">
        <v>20</v>
      </c>
      <c r="C59" s="23" t="n">
        <f aca="false">SUMIFS('Loss time 12-10'!$Q$3:$Q$46,'Loss time 12-10'!$H$3:$H$46,$A59,'Loss time 12-10'!$G$3:$G$46,C$58)</f>
        <v>3.5</v>
      </c>
      <c r="D59" s="23" t="n">
        <f aca="false">SUMIFS('Loss time 12-10'!$Q$3:$Q$46,'Loss time 12-10'!$H$3:$H$46,$A59,'Loss time 12-10'!$G$3:$G$46,D$58)</f>
        <v>9</v>
      </c>
      <c r="E59" s="23" t="n">
        <f aca="false">SUMIFS('Loss time 12-10'!$Q$3:$Q$46,'Loss time 12-10'!$H$3:$H$46,$A59,'Loss time 12-10'!$G$3:$G$46,E$58)</f>
        <v>9.5</v>
      </c>
      <c r="F59" s="23" t="n">
        <f aca="false">SUMIFS('Loss time 12-10'!$Q$3:$Q$46,'Loss time 12-10'!$H$3:$H$46,$A59,'Loss time 12-10'!$G$3:$G$46,F$58)</f>
        <v>25</v>
      </c>
      <c r="G59" s="23" t="n">
        <f aca="false">SUMIFS('Loss time 12-10'!$Q$3:$Q$46,'Loss time 12-10'!$H$3:$H$46,$A59,'Loss time 12-10'!$G$3:$G$46,G$58)</f>
        <v>0</v>
      </c>
      <c r="H59" s="23" t="n">
        <f aca="false">SUMIFS('Loss time 12-10'!$Q$3:$Q$46,'Loss time 12-10'!$H$3:$H$46,$A59,'Loss time 12-10'!$G$3:$G$46,H$58)</f>
        <v>0</v>
      </c>
      <c r="I59" s="23" t="n">
        <f aca="false">SUMIFS('Loss time 12-10'!$Q$3:$Q$46,'Loss time 12-10'!$H$3:$H$46,$A59,'Loss time 12-10'!$G$3:$G$46,I$58)</f>
        <v>0</v>
      </c>
      <c r="J59" s="24" t="n">
        <f aca="false">SUM(C59:I59)</f>
        <v>47</v>
      </c>
    </row>
    <row r="60" customFormat="false" ht="15" hidden="false" customHeight="false" outlineLevel="0" collapsed="false">
      <c r="A60" s="22" t="s">
        <v>30</v>
      </c>
      <c r="B60" s="22" t="s">
        <v>31</v>
      </c>
      <c r="C60" s="23" t="n">
        <f aca="false">SUMIFS('Loss time 12-10'!$Q$3:$Q$46,'Loss time 12-10'!$H$3:$H$46,$A60,'Loss time 12-10'!$G$3:$G$46,C$58)</f>
        <v>12.5</v>
      </c>
      <c r="D60" s="23" t="n">
        <f aca="false">SUMIFS('Loss time 12-10'!$Q$3:$Q$46,'Loss time 12-10'!$H$3:$H$46,$A60,'Loss time 12-10'!$G$3:$G$46,D$58)</f>
        <v>112.5</v>
      </c>
      <c r="E60" s="23" t="n">
        <f aca="false">SUMIFS('Loss time 12-10'!$Q$3:$Q$46,'Loss time 12-10'!$H$3:$H$46,$A60,'Loss time 12-10'!$G$3:$G$46,E$58)</f>
        <v>75</v>
      </c>
      <c r="F60" s="23" t="n">
        <f aca="false">SUMIFS('Loss time 12-10'!$Q$3:$Q$46,'Loss time 12-10'!$H$3:$H$46,$A60,'Loss time 12-10'!$G$3:$G$46,F$58)</f>
        <v>25</v>
      </c>
      <c r="G60" s="23" t="n">
        <f aca="false">SUMIFS('Loss time 12-10'!$Q$3:$Q$46,'Loss time 12-10'!$H$3:$H$46,$A60,'Loss time 12-10'!$G$3:$G$46,G$58)</f>
        <v>0</v>
      </c>
      <c r="H60" s="23" t="n">
        <f aca="false">SUMIFS('Loss time 12-10'!$Q$3:$Q$46,'Loss time 12-10'!$H$3:$H$46,$A60,'Loss time 12-10'!$G$3:$G$46,H$58)</f>
        <v>0</v>
      </c>
      <c r="I60" s="23" t="n">
        <f aca="false">SUMIFS('Loss time 12-10'!$Q$3:$Q$46,'Loss time 12-10'!$H$3:$H$46,$A60,'Loss time 12-10'!$G$3:$G$46,I$58)</f>
        <v>0</v>
      </c>
      <c r="J60" s="24" t="n">
        <f aca="false">SUM(C60:I60)</f>
        <v>225</v>
      </c>
    </row>
    <row r="61" customFormat="false" ht="15" hidden="false" customHeight="false" outlineLevel="0" collapsed="false">
      <c r="A61" s="22" t="s">
        <v>48</v>
      </c>
      <c r="B61" s="22" t="s">
        <v>49</v>
      </c>
      <c r="C61" s="23" t="n">
        <f aca="false">SUMIFS('Loss time 12-10'!$Q$3:$Q$46,'Loss time 12-10'!$H$3:$H$46,$A61,'Loss time 12-10'!$G$3:$G$46,C$58)</f>
        <v>0</v>
      </c>
      <c r="D61" s="23" t="n">
        <f aca="false">SUMIFS('Loss time 12-10'!$Q$3:$Q$46,'Loss time 12-10'!$H$3:$H$46,$A61,'Loss time 12-10'!$G$3:$G$46,D$58)</f>
        <v>0</v>
      </c>
      <c r="E61" s="23" t="n">
        <f aca="false">SUMIFS('Loss time 12-10'!$Q$3:$Q$46,'Loss time 12-10'!$H$3:$H$46,$A61,'Loss time 12-10'!$G$3:$G$46,E$58)</f>
        <v>0</v>
      </c>
      <c r="F61" s="23" t="n">
        <f aca="false">SUMIFS('Loss time 12-10'!$Q$3:$Q$46,'Loss time 12-10'!$H$3:$H$46,$A61,'Loss time 12-10'!$G$3:$G$46,F$58)</f>
        <v>16</v>
      </c>
      <c r="G61" s="23" t="n">
        <f aca="false">SUMIFS('Loss time 12-10'!$Q$3:$Q$46,'Loss time 12-10'!$H$3:$H$46,$A61,'Loss time 12-10'!$G$3:$G$46,G$58)</f>
        <v>0</v>
      </c>
      <c r="H61" s="23" t="n">
        <f aca="false">SUMIFS('Loss time 12-10'!$Q$3:$Q$46,'Loss time 12-10'!$H$3:$H$46,$A61,'Loss time 12-10'!$G$3:$G$46,H$58)</f>
        <v>8</v>
      </c>
      <c r="I61" s="23" t="n">
        <f aca="false">SUMIFS('Loss time 12-10'!$Q$3:$Q$46,'Loss time 12-10'!$H$3:$H$46,$A61,'Loss time 12-10'!$G$3:$G$46,I$58)</f>
        <v>0</v>
      </c>
      <c r="J61" s="24" t="n">
        <f aca="false">SUM(C61:I61)</f>
        <v>24</v>
      </c>
    </row>
    <row r="62" customFormat="false" ht="15" hidden="false" customHeight="false" outlineLevel="0" collapsed="false">
      <c r="A62" s="22" t="s">
        <v>52</v>
      </c>
      <c r="B62" s="22" t="s">
        <v>53</v>
      </c>
      <c r="C62" s="23" t="n">
        <f aca="false">SUMIFS('Loss time 12-10'!$Q$3:$Q$46,'Loss time 12-10'!$H$3:$H$46,$A62,'Loss time 12-10'!$G$3:$G$46,C$58)</f>
        <v>0</v>
      </c>
      <c r="D62" s="23" t="n">
        <f aca="false">SUMIFS('Loss time 12-10'!$Q$3:$Q$46,'Loss time 12-10'!$H$3:$H$46,$A62,'Loss time 12-10'!$G$3:$G$46,D$58)</f>
        <v>0</v>
      </c>
      <c r="E62" s="23" t="n">
        <f aca="false">SUMIFS('Loss time 12-10'!$Q$3:$Q$46,'Loss time 12-10'!$H$3:$H$46,$A62,'Loss time 12-10'!$G$3:$G$46,E$58)</f>
        <v>72</v>
      </c>
      <c r="F62" s="23" t="n">
        <f aca="false">SUMIFS('Loss time 12-10'!$Q$3:$Q$46,'Loss time 12-10'!$H$3:$H$46,$A62,'Loss time 12-10'!$G$3:$G$46,F$58)</f>
        <v>157.5</v>
      </c>
      <c r="G62" s="23" t="n">
        <f aca="false">SUMIFS('Loss time 12-10'!$Q$3:$Q$46,'Loss time 12-10'!$H$3:$H$46,$A62,'Loss time 12-10'!$G$3:$G$46,G$58)</f>
        <v>22.5</v>
      </c>
      <c r="H62" s="23" t="n">
        <f aca="false">SUMIFS('Loss time 12-10'!$Q$3:$Q$46,'Loss time 12-10'!$H$3:$H$46,$A62,'Loss time 12-10'!$G$3:$G$46,H$58)</f>
        <v>49.5</v>
      </c>
      <c r="I62" s="23" t="n">
        <f aca="false">SUMIFS('Loss time 12-10'!$Q$3:$Q$46,'Loss time 12-10'!$H$3:$H$46,$A62,'Loss time 12-10'!$G$3:$G$46,I$58)</f>
        <v>0</v>
      </c>
      <c r="J62" s="24" t="n">
        <f aca="false">SUM(C62:I62)</f>
        <v>301.5</v>
      </c>
    </row>
    <row r="63" customFormat="false" ht="15" hidden="false" customHeight="false" outlineLevel="0" collapsed="false">
      <c r="A63" s="25" t="s">
        <v>75</v>
      </c>
      <c r="B63" s="25"/>
      <c r="C63" s="24" t="n">
        <f aca="false">SUM(C59:C62)</f>
        <v>16</v>
      </c>
      <c r="D63" s="24" t="n">
        <f aca="false">SUM(D59:D62)</f>
        <v>121.5</v>
      </c>
      <c r="E63" s="24" t="n">
        <f aca="false">SUM(E59:E62)</f>
        <v>156.5</v>
      </c>
      <c r="F63" s="24" t="n">
        <f aca="false">SUM(F59:F62)</f>
        <v>223.5</v>
      </c>
      <c r="G63" s="24" t="n">
        <f aca="false">SUM(G59:G62)</f>
        <v>22.5</v>
      </c>
      <c r="H63" s="24" t="n">
        <f aca="false">SUM(H59:H62)</f>
        <v>57.5</v>
      </c>
      <c r="I63" s="24" t="n">
        <f aca="false">SUM(I59:I62)</f>
        <v>0</v>
      </c>
      <c r="J63" s="24" t="n">
        <f aca="false">SUM(J59:J62)</f>
        <v>597.5</v>
      </c>
    </row>
    <row r="66" customFormat="false" ht="15" hidden="false" customHeight="false" outlineLevel="0" collapsed="false">
      <c r="A66" s="18" t="s">
        <v>214</v>
      </c>
    </row>
    <row r="67" customFormat="false" ht="25.35" hidden="false" customHeight="false" outlineLevel="0" collapsed="false">
      <c r="A67" s="2" t="s">
        <v>8</v>
      </c>
      <c r="B67" s="2" t="s">
        <v>207</v>
      </c>
      <c r="C67" s="2" t="s">
        <v>18</v>
      </c>
      <c r="D67" s="2" t="s">
        <v>23</v>
      </c>
      <c r="E67" s="2" t="s">
        <v>25</v>
      </c>
      <c r="F67" s="2" t="s">
        <v>28</v>
      </c>
      <c r="G67" s="2" t="s">
        <v>68</v>
      </c>
      <c r="H67" s="2" t="s">
        <v>72</v>
      </c>
      <c r="I67" s="2" t="s">
        <v>184</v>
      </c>
      <c r="J67" s="2" t="s">
        <v>75</v>
      </c>
    </row>
    <row r="68" customFormat="false" ht="15" hidden="false" customHeight="false" outlineLevel="0" collapsed="false">
      <c r="A68" s="22" t="s">
        <v>19</v>
      </c>
      <c r="B68" s="22" t="s">
        <v>20</v>
      </c>
      <c r="C68" s="23" t="n">
        <f aca="false">SUMIFS('Loss time 13-10'!$Q$3:$Q$48,'Loss time 13-10'!$H$3:$H$48,$A68,'Loss time 13-10'!$G$3:$G$48,C$67)</f>
        <v>3.5</v>
      </c>
      <c r="D68" s="23" t="n">
        <f aca="false">SUMIFS('Loss time 13-10'!$Q$3:$Q$48,'Loss time 13-10'!$H$3:$H$48,$A68,'Loss time 13-10'!$G$3:$G$48,D$67)</f>
        <v>9</v>
      </c>
      <c r="E68" s="23" t="n">
        <f aca="false">SUMIFS('Loss time 13-10'!$Q$3:$Q$48,'Loss time 13-10'!$H$3:$H$48,$A68,'Loss time 13-10'!$G$3:$G$48,E$67)</f>
        <v>9.5</v>
      </c>
      <c r="F68" s="23" t="n">
        <f aca="false">SUMIFS('Loss time 13-10'!$Q$3:$Q$48,'Loss time 13-10'!$H$3:$H$48,$A68,'Loss time 13-10'!$G$3:$G$48,F$67)</f>
        <v>25</v>
      </c>
      <c r="G68" s="23" t="n">
        <f aca="false">SUMIFS('Loss time 13-10'!$Q$3:$Q$48,'Loss time 13-10'!$H$3:$H$48,$A68,'Loss time 13-10'!$G$3:$G$48,G$67)</f>
        <v>0</v>
      </c>
      <c r="H68" s="23" t="n">
        <f aca="false">SUMIFS('Loss time 13-10'!$Q$3:$Q$48,'Loss time 13-10'!$H$3:$H$48,$A68,'Loss time 13-10'!$G$3:$G$48,H$67)</f>
        <v>0</v>
      </c>
      <c r="I68" s="23" t="n">
        <f aca="false">SUMIFS('Loss time 13-10'!$Q$3:$Q$48,'Loss time 13-10'!$H$3:$H$48,$A68,'Loss time 13-10'!$G$3:$G$48,I$67)</f>
        <v>0</v>
      </c>
      <c r="J68" s="24" t="n">
        <f aca="false">SUM(C68:I68)</f>
        <v>47</v>
      </c>
    </row>
    <row r="69" customFormat="false" ht="15" hidden="false" customHeight="false" outlineLevel="0" collapsed="false">
      <c r="A69" s="22" t="s">
        <v>30</v>
      </c>
      <c r="B69" s="22" t="s">
        <v>31</v>
      </c>
      <c r="C69" s="23" t="n">
        <f aca="false">SUMIFS('Loss time 13-10'!$Q$3:$Q$48,'Loss time 13-10'!$H$3:$H$48,$A69,'Loss time 13-10'!$G$3:$G$48,C$67)</f>
        <v>12.5</v>
      </c>
      <c r="D69" s="23" t="n">
        <f aca="false">SUMIFS('Loss time 13-10'!$Q$3:$Q$48,'Loss time 13-10'!$H$3:$H$48,$A69,'Loss time 13-10'!$G$3:$G$48,D$67)</f>
        <v>112.5</v>
      </c>
      <c r="E69" s="23" t="n">
        <f aca="false">SUMIFS('Loss time 13-10'!$Q$3:$Q$48,'Loss time 13-10'!$H$3:$H$48,$A69,'Loss time 13-10'!$G$3:$G$48,E$67)</f>
        <v>75</v>
      </c>
      <c r="F69" s="23" t="n">
        <f aca="false">SUMIFS('Loss time 13-10'!$Q$3:$Q$48,'Loss time 13-10'!$H$3:$H$48,$A69,'Loss time 13-10'!$G$3:$G$48,F$67)</f>
        <v>25</v>
      </c>
      <c r="G69" s="23" t="n">
        <f aca="false">SUMIFS('Loss time 13-10'!$Q$3:$Q$48,'Loss time 13-10'!$H$3:$H$48,$A69,'Loss time 13-10'!$G$3:$G$48,G$67)</f>
        <v>0</v>
      </c>
      <c r="H69" s="23" t="n">
        <f aca="false">SUMIFS('Loss time 13-10'!$Q$3:$Q$48,'Loss time 13-10'!$H$3:$H$48,$A69,'Loss time 13-10'!$G$3:$G$48,H$67)</f>
        <v>0</v>
      </c>
      <c r="I69" s="23" t="n">
        <f aca="false">SUMIFS('Loss time 13-10'!$Q$3:$Q$48,'Loss time 13-10'!$H$3:$H$48,$A69,'Loss time 13-10'!$G$3:$G$48,I$67)</f>
        <v>0</v>
      </c>
      <c r="J69" s="24" t="n">
        <f aca="false">SUM(C69:I69)</f>
        <v>225</v>
      </c>
    </row>
    <row r="70" customFormat="false" ht="15" hidden="false" customHeight="false" outlineLevel="0" collapsed="false">
      <c r="A70" s="22" t="s">
        <v>48</v>
      </c>
      <c r="B70" s="22" t="s">
        <v>49</v>
      </c>
      <c r="C70" s="23" t="n">
        <f aca="false">SUMIFS('Loss time 13-10'!$Q$3:$Q$48,'Loss time 13-10'!$H$3:$H$48,$A70,'Loss time 13-10'!$G$3:$G$48,C$67)</f>
        <v>0</v>
      </c>
      <c r="D70" s="23" t="n">
        <f aca="false">SUMIFS('Loss time 13-10'!$Q$3:$Q$48,'Loss time 13-10'!$H$3:$H$48,$A70,'Loss time 13-10'!$G$3:$G$48,D$67)</f>
        <v>0</v>
      </c>
      <c r="E70" s="23" t="n">
        <f aca="false">SUMIFS('Loss time 13-10'!$Q$3:$Q$48,'Loss time 13-10'!$H$3:$H$48,$A70,'Loss time 13-10'!$G$3:$G$48,E$67)</f>
        <v>8</v>
      </c>
      <c r="F70" s="23" t="n">
        <f aca="false">SUMIFS('Loss time 13-10'!$Q$3:$Q$48,'Loss time 13-10'!$H$3:$H$48,$A70,'Loss time 13-10'!$G$3:$G$48,F$67)</f>
        <v>16</v>
      </c>
      <c r="G70" s="23" t="n">
        <f aca="false">SUMIFS('Loss time 13-10'!$Q$3:$Q$48,'Loss time 13-10'!$H$3:$H$48,$A70,'Loss time 13-10'!$G$3:$G$48,G$67)</f>
        <v>0</v>
      </c>
      <c r="H70" s="23" t="n">
        <f aca="false">SUMIFS('Loss time 13-10'!$Q$3:$Q$48,'Loss time 13-10'!$H$3:$H$48,$A70,'Loss time 13-10'!$G$3:$G$48,H$67)</f>
        <v>32</v>
      </c>
      <c r="I70" s="23" t="n">
        <f aca="false">SUMIFS('Loss time 13-10'!$Q$3:$Q$48,'Loss time 13-10'!$H$3:$H$48,$A70,'Loss time 13-10'!$G$3:$G$48,I$67)</f>
        <v>0</v>
      </c>
      <c r="J70" s="24" t="n">
        <f aca="false">SUM(C70:I70)</f>
        <v>56</v>
      </c>
    </row>
    <row r="71" customFormat="false" ht="15" hidden="false" customHeight="false" outlineLevel="0" collapsed="false">
      <c r="A71" s="22" t="s">
        <v>52</v>
      </c>
      <c r="B71" s="22" t="s">
        <v>53</v>
      </c>
      <c r="C71" s="23" t="n">
        <f aca="false">SUMIFS('Loss time 13-10'!$Q$3:$Q$48,'Loss time 13-10'!$H$3:$H$48,$A71,'Loss time 13-10'!$G$3:$G$48,C$67)</f>
        <v>0</v>
      </c>
      <c r="D71" s="23" t="n">
        <f aca="false">SUMIFS('Loss time 13-10'!$Q$3:$Q$48,'Loss time 13-10'!$H$3:$H$48,$A71,'Loss time 13-10'!$G$3:$G$48,D$67)</f>
        <v>0</v>
      </c>
      <c r="E71" s="23" t="n">
        <f aca="false">SUMIFS('Loss time 13-10'!$Q$3:$Q$48,'Loss time 13-10'!$H$3:$H$48,$A71,'Loss time 13-10'!$G$3:$G$48,E$67)</f>
        <v>72</v>
      </c>
      <c r="F71" s="23" t="n">
        <f aca="false">SUMIFS('Loss time 13-10'!$Q$3:$Q$48,'Loss time 13-10'!$H$3:$H$48,$A71,'Loss time 13-10'!$G$3:$G$48,F$67)</f>
        <v>153</v>
      </c>
      <c r="G71" s="23" t="n">
        <f aca="false">SUMIFS('Loss time 13-10'!$Q$3:$Q$48,'Loss time 13-10'!$H$3:$H$48,$A71,'Loss time 13-10'!$G$3:$G$48,G$67)</f>
        <v>22.5</v>
      </c>
      <c r="H71" s="23" t="n">
        <f aca="false">SUMIFS('Loss time 13-10'!$Q$3:$Q$48,'Loss time 13-10'!$H$3:$H$48,$A71,'Loss time 13-10'!$G$3:$G$48,H$67)</f>
        <v>54</v>
      </c>
      <c r="I71" s="23" t="n">
        <f aca="false">SUMIFS('Loss time 13-10'!$Q$3:$Q$48,'Loss time 13-10'!$H$3:$H$48,$A71,'Loss time 13-10'!$G$3:$G$48,I$67)</f>
        <v>0</v>
      </c>
      <c r="J71" s="24" t="n">
        <f aca="false">SUM(C71:I71)</f>
        <v>301.5</v>
      </c>
    </row>
    <row r="72" customFormat="false" ht="15" hidden="false" customHeight="false" outlineLevel="0" collapsed="false">
      <c r="A72" s="25" t="s">
        <v>75</v>
      </c>
      <c r="B72" s="25"/>
      <c r="C72" s="24" t="n">
        <f aca="false">SUM(C68:C71)</f>
        <v>16</v>
      </c>
      <c r="D72" s="24" t="n">
        <f aca="false">SUM(D68:D71)</f>
        <v>121.5</v>
      </c>
      <c r="E72" s="24" t="n">
        <f aca="false">SUM(E68:E71)</f>
        <v>164.5</v>
      </c>
      <c r="F72" s="24" t="n">
        <f aca="false">SUM(F68:F71)</f>
        <v>219</v>
      </c>
      <c r="G72" s="24" t="n">
        <f aca="false">SUM(G68:G71)</f>
        <v>22.5</v>
      </c>
      <c r="H72" s="24" t="n">
        <f aca="false">SUM(H68:H71)</f>
        <v>86</v>
      </c>
      <c r="I72" s="24" t="n">
        <f aca="false">SUM(I68:I71)</f>
        <v>0</v>
      </c>
      <c r="J72" s="24" t="n">
        <f aca="false">SUM(J68:J71)</f>
        <v>629.5</v>
      </c>
    </row>
    <row r="75" customFormat="false" ht="15" hidden="false" customHeight="false" outlineLevel="0" collapsed="false">
      <c r="A75" s="18" t="s">
        <v>215</v>
      </c>
    </row>
    <row r="76" customFormat="false" ht="25.35" hidden="false" customHeight="false" outlineLevel="0" collapsed="false">
      <c r="A76" s="2" t="s">
        <v>8</v>
      </c>
      <c r="B76" s="2" t="s">
        <v>207</v>
      </c>
      <c r="C76" s="2" t="s">
        <v>18</v>
      </c>
      <c r="D76" s="2" t="s">
        <v>23</v>
      </c>
      <c r="E76" s="2" t="s">
        <v>25</v>
      </c>
      <c r="F76" s="2" t="s">
        <v>28</v>
      </c>
      <c r="G76" s="2" t="s">
        <v>68</v>
      </c>
      <c r="H76" s="2" t="s">
        <v>72</v>
      </c>
      <c r="I76" s="2" t="s">
        <v>184</v>
      </c>
      <c r="J76" s="2" t="s">
        <v>75</v>
      </c>
    </row>
    <row r="77" customFormat="false" ht="15" hidden="false" customHeight="false" outlineLevel="0" collapsed="false">
      <c r="A77" s="22" t="s">
        <v>19</v>
      </c>
      <c r="B77" s="22" t="s">
        <v>20</v>
      </c>
      <c r="C77" s="23" t="n">
        <f aca="false">SUMIFS('Loss time 14-10'!$Q$3:$Q$38,'Loss time 14-10'!$H$3:$H$38,$A77,'Loss time 14-10'!$G$3:$G$38,C$76)</f>
        <v>3.5</v>
      </c>
      <c r="D77" s="23" t="n">
        <f aca="false">SUMIFS('Loss time 14-10'!$Q$3:$Q$38,'Loss time 14-10'!$H$3:$H$38,$A77,'Loss time 14-10'!$G$3:$G$38,D$76)</f>
        <v>9</v>
      </c>
      <c r="E77" s="23" t="n">
        <f aca="false">SUMIFS('Loss time 14-10'!$Q$3:$Q$38,'Loss time 14-10'!$H$3:$H$38,$A77,'Loss time 14-10'!$G$3:$G$38,E$76)</f>
        <v>9.5</v>
      </c>
      <c r="F77" s="23" t="n">
        <f aca="false">SUMIFS('Loss time 14-10'!$Q$3:$Q$38,'Loss time 14-10'!$H$3:$H$38,$A77,'Loss time 14-10'!$G$3:$G$38,F$76)</f>
        <v>25</v>
      </c>
      <c r="G77" s="23" t="n">
        <f aca="false">SUMIFS('Loss time 14-10'!$Q$3:$Q$38,'Loss time 14-10'!$H$3:$H$38,$A77,'Loss time 14-10'!$G$3:$G$38,G$76)</f>
        <v>0</v>
      </c>
      <c r="H77" s="23" t="n">
        <f aca="false">SUMIFS('Loss time 14-10'!$Q$3:$Q$38,'Loss time 14-10'!$H$3:$H$38,$A77,'Loss time 14-10'!$G$3:$G$38,H$76)</f>
        <v>0</v>
      </c>
      <c r="I77" s="23" t="n">
        <f aca="false">SUMIFS('Loss time 14-10'!$Q$3:$Q$38,'Loss time 14-10'!$H$3:$H$38,$A77,'Loss time 14-10'!$G$3:$G$38,I$76)</f>
        <v>0</v>
      </c>
      <c r="J77" s="24" t="n">
        <f aca="false">SUM(C77:I77)</f>
        <v>47</v>
      </c>
    </row>
    <row r="78" customFormat="false" ht="15" hidden="false" customHeight="false" outlineLevel="0" collapsed="false">
      <c r="A78" s="22" t="s">
        <v>30</v>
      </c>
      <c r="B78" s="22" t="s">
        <v>31</v>
      </c>
      <c r="C78" s="23" t="n">
        <f aca="false">SUMIFS('Loss time 14-10'!$Q$3:$Q$38,'Loss time 14-10'!$H$3:$H$38,$A78,'Loss time 14-10'!$G$3:$G$38,C$76)</f>
        <v>12.5</v>
      </c>
      <c r="D78" s="23" t="n">
        <f aca="false">SUMIFS('Loss time 14-10'!$Q$3:$Q$38,'Loss time 14-10'!$H$3:$H$38,$A78,'Loss time 14-10'!$G$3:$G$38,D$76)</f>
        <v>112.5</v>
      </c>
      <c r="E78" s="23" t="n">
        <f aca="false">SUMIFS('Loss time 14-10'!$Q$3:$Q$38,'Loss time 14-10'!$H$3:$H$38,$A78,'Loss time 14-10'!$G$3:$G$38,E$76)</f>
        <v>75</v>
      </c>
      <c r="F78" s="23" t="n">
        <f aca="false">SUMIFS('Loss time 14-10'!$Q$3:$Q$38,'Loss time 14-10'!$H$3:$H$38,$A78,'Loss time 14-10'!$G$3:$G$38,F$76)</f>
        <v>25</v>
      </c>
      <c r="G78" s="23" t="n">
        <f aca="false">SUMIFS('Loss time 14-10'!$Q$3:$Q$38,'Loss time 14-10'!$H$3:$H$38,$A78,'Loss time 14-10'!$G$3:$G$38,G$76)</f>
        <v>0</v>
      </c>
      <c r="H78" s="23" t="n">
        <f aca="false">SUMIFS('Loss time 14-10'!$Q$3:$Q$38,'Loss time 14-10'!$H$3:$H$38,$A78,'Loss time 14-10'!$G$3:$G$38,H$76)</f>
        <v>0</v>
      </c>
      <c r="I78" s="23" t="n">
        <f aca="false">SUMIFS('Loss time 14-10'!$Q$3:$Q$38,'Loss time 14-10'!$H$3:$H$38,$A78,'Loss time 14-10'!$G$3:$G$38,I$76)</f>
        <v>0</v>
      </c>
      <c r="J78" s="24" t="n">
        <f aca="false">SUM(C78:I78)</f>
        <v>225</v>
      </c>
    </row>
    <row r="79" customFormat="false" ht="15" hidden="false" customHeight="false" outlineLevel="0" collapsed="false">
      <c r="A79" s="22" t="s">
        <v>48</v>
      </c>
      <c r="B79" s="22" t="s">
        <v>49</v>
      </c>
      <c r="C79" s="23" t="n">
        <f aca="false">SUMIFS('Loss time 14-10'!$Q$3:$Q$38,'Loss time 14-10'!$H$3:$H$38,$A79,'Loss time 14-10'!$G$3:$G$38,C$76)</f>
        <v>0</v>
      </c>
      <c r="D79" s="23" t="n">
        <f aca="false">SUMIFS('Loss time 14-10'!$Q$3:$Q$38,'Loss time 14-10'!$H$3:$H$38,$A79,'Loss time 14-10'!$G$3:$G$38,D$76)</f>
        <v>0</v>
      </c>
      <c r="E79" s="23" t="n">
        <f aca="false">SUMIFS('Loss time 14-10'!$Q$3:$Q$38,'Loss time 14-10'!$H$3:$H$38,$A79,'Loss time 14-10'!$G$3:$G$38,E$76)</f>
        <v>0</v>
      </c>
      <c r="F79" s="23" t="n">
        <f aca="false">SUMIFS('Loss time 14-10'!$Q$3:$Q$38,'Loss time 14-10'!$H$3:$H$38,$A79,'Loss time 14-10'!$G$3:$G$38,F$76)</f>
        <v>8</v>
      </c>
      <c r="G79" s="23" t="n">
        <f aca="false">SUMIFS('Loss time 14-10'!$Q$3:$Q$38,'Loss time 14-10'!$H$3:$H$38,$A79,'Loss time 14-10'!$G$3:$G$38,G$76)</f>
        <v>0</v>
      </c>
      <c r="H79" s="23" t="n">
        <f aca="false">SUMIFS('Loss time 14-10'!$Q$3:$Q$38,'Loss time 14-10'!$H$3:$H$38,$A79,'Loss time 14-10'!$G$3:$G$38,H$76)</f>
        <v>0</v>
      </c>
      <c r="I79" s="23" t="n">
        <f aca="false">SUMIFS('Loss time 14-10'!$Q$3:$Q$38,'Loss time 14-10'!$H$3:$H$38,$A79,'Loss time 14-10'!$G$3:$G$38,I$76)</f>
        <v>0</v>
      </c>
      <c r="J79" s="24" t="n">
        <f aca="false">SUM(C79:I79)</f>
        <v>8</v>
      </c>
    </row>
    <row r="80" customFormat="false" ht="15" hidden="false" customHeight="false" outlineLevel="0" collapsed="false">
      <c r="A80" s="22" t="s">
        <v>52</v>
      </c>
      <c r="B80" s="22" t="s">
        <v>53</v>
      </c>
      <c r="C80" s="23" t="n">
        <f aca="false">SUMIFS('Loss time 14-10'!$Q$3:$Q$38,'Loss time 14-10'!$H$3:$H$38,$A80,'Loss time 14-10'!$G$3:$G$38,C$76)</f>
        <v>0</v>
      </c>
      <c r="D80" s="23" t="n">
        <f aca="false">SUMIFS('Loss time 14-10'!$Q$3:$Q$38,'Loss time 14-10'!$H$3:$H$38,$A80,'Loss time 14-10'!$G$3:$G$38,D$76)</f>
        <v>0</v>
      </c>
      <c r="E80" s="23" t="n">
        <f aca="false">SUMIFS('Loss time 14-10'!$Q$3:$Q$38,'Loss time 14-10'!$H$3:$H$38,$A80,'Loss time 14-10'!$G$3:$G$38,E$76)</f>
        <v>31.5</v>
      </c>
      <c r="F80" s="23" t="n">
        <f aca="false">SUMIFS('Loss time 14-10'!$Q$3:$Q$38,'Loss time 14-10'!$H$3:$H$38,$A80,'Loss time 14-10'!$G$3:$G$38,F$76)</f>
        <v>103.5</v>
      </c>
      <c r="G80" s="23" t="n">
        <f aca="false">SUMIFS('Loss time 14-10'!$Q$3:$Q$38,'Loss time 14-10'!$H$3:$H$38,$A80,'Loss time 14-10'!$G$3:$G$38,G$76)</f>
        <v>0</v>
      </c>
      <c r="H80" s="23" t="n">
        <f aca="false">SUMIFS('Loss time 14-10'!$Q$3:$Q$38,'Loss time 14-10'!$H$3:$H$38,$A80,'Loss time 14-10'!$G$3:$G$38,H$76)</f>
        <v>72</v>
      </c>
      <c r="I80" s="23" t="n">
        <f aca="false">SUMIFS('Loss time 14-10'!$Q$3:$Q$38,'Loss time 14-10'!$H$3:$H$38,$A80,'Loss time 14-10'!$G$3:$G$38,I$76)</f>
        <v>0</v>
      </c>
      <c r="J80" s="24" t="n">
        <f aca="false">SUM(C80:I80)</f>
        <v>207</v>
      </c>
    </row>
    <row r="81" customFormat="false" ht="15" hidden="false" customHeight="false" outlineLevel="0" collapsed="false">
      <c r="A81" s="25" t="s">
        <v>75</v>
      </c>
      <c r="B81" s="25"/>
      <c r="C81" s="24" t="n">
        <f aca="false">SUM(C77:C80)</f>
        <v>16</v>
      </c>
      <c r="D81" s="24" t="n">
        <f aca="false">SUM(D77:D80)</f>
        <v>121.5</v>
      </c>
      <c r="E81" s="24" t="n">
        <f aca="false">SUM(E77:E80)</f>
        <v>116</v>
      </c>
      <c r="F81" s="24" t="n">
        <f aca="false">SUM(F77:F80)</f>
        <v>161.5</v>
      </c>
      <c r="G81" s="24" t="n">
        <f aca="false">SUM(G77:G80)</f>
        <v>0</v>
      </c>
      <c r="H81" s="24" t="n">
        <f aca="false">SUM(H77:H80)</f>
        <v>72</v>
      </c>
      <c r="I81" s="24" t="n">
        <f aca="false">SUM(I77:I80)</f>
        <v>0</v>
      </c>
      <c r="J81" s="24" t="n">
        <f aca="false">SUM(J77:J80)</f>
        <v>487</v>
      </c>
    </row>
    <row r="84" customFormat="false" ht="15" hidden="false" customHeight="false" outlineLevel="0" collapsed="false">
      <c r="A84" s="18" t="s">
        <v>216</v>
      </c>
    </row>
    <row r="85" customFormat="false" ht="25.35" hidden="false" customHeight="false" outlineLevel="0" collapsed="false">
      <c r="A85" s="2" t="s">
        <v>8</v>
      </c>
      <c r="B85" s="2" t="s">
        <v>207</v>
      </c>
      <c r="C85" s="2" t="s">
        <v>18</v>
      </c>
      <c r="D85" s="2" t="s">
        <v>23</v>
      </c>
      <c r="E85" s="2" t="s">
        <v>25</v>
      </c>
      <c r="F85" s="2" t="s">
        <v>28</v>
      </c>
      <c r="G85" s="2" t="s">
        <v>68</v>
      </c>
      <c r="H85" s="2" t="s">
        <v>72</v>
      </c>
      <c r="I85" s="2" t="s">
        <v>184</v>
      </c>
      <c r="J85" s="2" t="s">
        <v>75</v>
      </c>
    </row>
    <row r="86" customFormat="false" ht="15" hidden="false" customHeight="false" outlineLevel="0" collapsed="false">
      <c r="A86" s="22" t="s">
        <v>19</v>
      </c>
      <c r="B86" s="22" t="s">
        <v>20</v>
      </c>
      <c r="C86" s="23" t="n">
        <f aca="false">SUMIFS('Loss time 15-10'!$Q$3:$Q$37,'Loss time 15-10'!$H$3:$H$37,$A86,'Loss time 15-10'!$G$3:$G$37,C$85)</f>
        <v>3.5</v>
      </c>
      <c r="D86" s="23" t="n">
        <f aca="false">SUMIFS('Loss time 15-10'!$Q$3:$Q$37,'Loss time 15-10'!$H$3:$H$37,$A86,'Loss time 15-10'!$G$3:$G$37,D$85)</f>
        <v>9</v>
      </c>
      <c r="E86" s="23" t="n">
        <f aca="false">SUMIFS('Loss time 15-10'!$Q$3:$Q$37,'Loss time 15-10'!$H$3:$H$37,$A86,'Loss time 15-10'!$G$3:$G$37,E$85)</f>
        <v>9.5</v>
      </c>
      <c r="F86" s="23" t="n">
        <f aca="false">SUMIFS('Loss time 15-10'!$Q$3:$Q$37,'Loss time 15-10'!$H$3:$H$37,$A86,'Loss time 15-10'!$G$3:$G$37,F$85)</f>
        <v>25</v>
      </c>
      <c r="G86" s="23" t="n">
        <f aca="false">SUMIFS('Loss time 15-10'!$Q$3:$Q$37,'Loss time 15-10'!$H$3:$H$37,$A86,'Loss time 15-10'!$G$3:$G$37,G$85)</f>
        <v>0</v>
      </c>
      <c r="H86" s="23" t="n">
        <f aca="false">SUMIFS('Loss time 15-10'!$Q$3:$Q$37,'Loss time 15-10'!$H$3:$H$37,$A86,'Loss time 15-10'!$G$3:$G$37,H$85)</f>
        <v>0</v>
      </c>
      <c r="I86" s="23" t="n">
        <f aca="false">SUMIFS('Loss time 15-10'!$Q$3:$Q$37,'Loss time 15-10'!$H$3:$H$37,$A86,'Loss time 15-10'!$G$3:$G$37,I$85)</f>
        <v>0</v>
      </c>
      <c r="J86" s="24" t="n">
        <f aca="false">SUM(C86:I86)</f>
        <v>47</v>
      </c>
    </row>
    <row r="87" customFormat="false" ht="15" hidden="false" customHeight="false" outlineLevel="0" collapsed="false">
      <c r="A87" s="22" t="s">
        <v>30</v>
      </c>
      <c r="B87" s="22" t="s">
        <v>31</v>
      </c>
      <c r="C87" s="23" t="n">
        <f aca="false">SUMIFS('Loss time 15-10'!$Q$3:$Q$37,'Loss time 15-10'!$H$3:$H$37,$A87,'Loss time 15-10'!$G$3:$G$37,C$85)</f>
        <v>12.5</v>
      </c>
      <c r="D87" s="23" t="n">
        <f aca="false">SUMIFS('Loss time 15-10'!$Q$3:$Q$37,'Loss time 15-10'!$H$3:$H$37,$A87,'Loss time 15-10'!$G$3:$G$37,D$85)</f>
        <v>112.5</v>
      </c>
      <c r="E87" s="23" t="n">
        <f aca="false">SUMIFS('Loss time 15-10'!$Q$3:$Q$37,'Loss time 15-10'!$H$3:$H$37,$A87,'Loss time 15-10'!$G$3:$G$37,E$85)</f>
        <v>75</v>
      </c>
      <c r="F87" s="23" t="n">
        <f aca="false">SUMIFS('Loss time 15-10'!$Q$3:$Q$37,'Loss time 15-10'!$H$3:$H$37,$A87,'Loss time 15-10'!$G$3:$G$37,F$85)</f>
        <v>25</v>
      </c>
      <c r="G87" s="23" t="n">
        <f aca="false">SUMIFS('Loss time 15-10'!$Q$3:$Q$37,'Loss time 15-10'!$H$3:$H$37,$A87,'Loss time 15-10'!$G$3:$G$37,G$85)</f>
        <v>0</v>
      </c>
      <c r="H87" s="23" t="n">
        <f aca="false">SUMIFS('Loss time 15-10'!$Q$3:$Q$37,'Loss time 15-10'!$H$3:$H$37,$A87,'Loss time 15-10'!$G$3:$G$37,H$85)</f>
        <v>0</v>
      </c>
      <c r="I87" s="23" t="n">
        <f aca="false">SUMIFS('Loss time 15-10'!$Q$3:$Q$37,'Loss time 15-10'!$H$3:$H$37,$A87,'Loss time 15-10'!$G$3:$G$37,I$85)</f>
        <v>0</v>
      </c>
      <c r="J87" s="24" t="n">
        <f aca="false">SUM(C87:I87)</f>
        <v>225</v>
      </c>
    </row>
    <row r="88" customFormat="false" ht="15" hidden="false" customHeight="false" outlineLevel="0" collapsed="false">
      <c r="A88" s="22" t="s">
        <v>48</v>
      </c>
      <c r="B88" s="22" t="s">
        <v>49</v>
      </c>
      <c r="C88" s="23" t="n">
        <f aca="false">SUMIFS('Loss time 15-10'!$Q$3:$Q$37,'Loss time 15-10'!$H$3:$H$37,$A88,'Loss time 15-10'!$G$3:$G$37,C$85)</f>
        <v>0</v>
      </c>
      <c r="D88" s="23" t="n">
        <f aca="false">SUMIFS('Loss time 15-10'!$Q$3:$Q$37,'Loss time 15-10'!$H$3:$H$37,$A88,'Loss time 15-10'!$G$3:$G$37,D$85)</f>
        <v>0</v>
      </c>
      <c r="E88" s="23" t="n">
        <f aca="false">SUMIFS('Loss time 15-10'!$Q$3:$Q$37,'Loss time 15-10'!$H$3:$H$37,$A88,'Loss time 15-10'!$G$3:$G$37,E$85)</f>
        <v>0</v>
      </c>
      <c r="F88" s="23" t="n">
        <f aca="false">SUMIFS('Loss time 15-10'!$Q$3:$Q$37,'Loss time 15-10'!$H$3:$H$37,$A88,'Loss time 15-10'!$G$3:$G$37,F$85)</f>
        <v>32</v>
      </c>
      <c r="G88" s="23" t="n">
        <f aca="false">SUMIFS('Loss time 15-10'!$Q$3:$Q$37,'Loss time 15-10'!$H$3:$H$37,$A88,'Loss time 15-10'!$G$3:$G$37,G$85)</f>
        <v>0</v>
      </c>
      <c r="H88" s="23" t="n">
        <f aca="false">SUMIFS('Loss time 15-10'!$Q$3:$Q$37,'Loss time 15-10'!$H$3:$H$37,$A88,'Loss time 15-10'!$G$3:$G$37,H$85)</f>
        <v>0</v>
      </c>
      <c r="I88" s="23" t="n">
        <f aca="false">SUMIFS('Loss time 15-10'!$Q$3:$Q$37,'Loss time 15-10'!$H$3:$H$37,$A88,'Loss time 15-10'!$G$3:$G$37,I$85)</f>
        <v>0</v>
      </c>
      <c r="J88" s="24" t="n">
        <f aca="false">SUM(C88:I88)</f>
        <v>32</v>
      </c>
    </row>
    <row r="89" customFormat="false" ht="15" hidden="false" customHeight="false" outlineLevel="0" collapsed="false">
      <c r="A89" s="22" t="s">
        <v>52</v>
      </c>
      <c r="B89" s="22" t="s">
        <v>53</v>
      </c>
      <c r="C89" s="23" t="n">
        <f aca="false">SUMIFS('Loss time 15-10'!$Q$3:$Q$37,'Loss time 15-10'!$H$3:$H$37,$A89,'Loss time 15-10'!$G$3:$G$37,C$85)</f>
        <v>0</v>
      </c>
      <c r="D89" s="23" t="n">
        <f aca="false">SUMIFS('Loss time 15-10'!$Q$3:$Q$37,'Loss time 15-10'!$H$3:$H$37,$A89,'Loss time 15-10'!$G$3:$G$37,D$85)</f>
        <v>0</v>
      </c>
      <c r="E89" s="23" t="n">
        <f aca="false">SUMIFS('Loss time 15-10'!$Q$3:$Q$37,'Loss time 15-10'!$H$3:$H$37,$A89,'Loss time 15-10'!$G$3:$G$37,E$85)</f>
        <v>31.5</v>
      </c>
      <c r="F89" s="23" t="n">
        <f aca="false">SUMIFS('Loss time 15-10'!$Q$3:$Q$37,'Loss time 15-10'!$H$3:$H$37,$A89,'Loss time 15-10'!$G$3:$G$37,F$85)</f>
        <v>108</v>
      </c>
      <c r="G89" s="23" t="n">
        <f aca="false">SUMIFS('Loss time 15-10'!$Q$3:$Q$37,'Loss time 15-10'!$H$3:$H$37,$A89,'Loss time 15-10'!$G$3:$G$37,G$85)</f>
        <v>0</v>
      </c>
      <c r="H89" s="23" t="n">
        <f aca="false">SUMIFS('Loss time 15-10'!$Q$3:$Q$37,'Loss time 15-10'!$H$3:$H$37,$A89,'Loss time 15-10'!$G$3:$G$37,H$85)</f>
        <v>54</v>
      </c>
      <c r="I89" s="23" t="n">
        <f aca="false">SUMIFS('Loss time 15-10'!$Q$3:$Q$37,'Loss time 15-10'!$H$3:$H$37,$A89,'Loss time 15-10'!$G$3:$G$37,I$85)</f>
        <v>0</v>
      </c>
      <c r="J89" s="24" t="n">
        <f aca="false">SUM(C89:I89)</f>
        <v>193.5</v>
      </c>
    </row>
    <row r="90" customFormat="false" ht="15" hidden="false" customHeight="false" outlineLevel="0" collapsed="false">
      <c r="A90" s="25" t="s">
        <v>75</v>
      </c>
      <c r="B90" s="25"/>
      <c r="C90" s="24" t="n">
        <f aca="false">SUM(C86:C89)</f>
        <v>16</v>
      </c>
      <c r="D90" s="24" t="n">
        <f aca="false">SUM(D86:D89)</f>
        <v>121.5</v>
      </c>
      <c r="E90" s="24" t="n">
        <f aca="false">SUM(E86:E89)</f>
        <v>116</v>
      </c>
      <c r="F90" s="24" t="n">
        <f aca="false">SUM(F86:F89)</f>
        <v>190</v>
      </c>
      <c r="G90" s="24" t="n">
        <f aca="false">SUM(G86:G89)</f>
        <v>0</v>
      </c>
      <c r="H90" s="24" t="n">
        <f aca="false">SUM(H86:H89)</f>
        <v>54</v>
      </c>
      <c r="I90" s="24" t="n">
        <f aca="false">SUM(I86:I89)</f>
        <v>0</v>
      </c>
      <c r="J90" s="24" t="n">
        <f aca="false">SUM(J86:J89)</f>
        <v>497.5</v>
      </c>
    </row>
    <row r="93" customFormat="false" ht="15" hidden="false" customHeight="false" outlineLevel="0" collapsed="false">
      <c r="A93" s="18" t="s">
        <v>217</v>
      </c>
    </row>
    <row r="94" customFormat="false" ht="25.35" hidden="false" customHeight="false" outlineLevel="0" collapsed="false">
      <c r="A94" s="2" t="s">
        <v>8</v>
      </c>
      <c r="B94" s="2" t="s">
        <v>207</v>
      </c>
      <c r="C94" s="2" t="s">
        <v>18</v>
      </c>
      <c r="D94" s="2" t="s">
        <v>23</v>
      </c>
      <c r="E94" s="2" t="s">
        <v>25</v>
      </c>
      <c r="F94" s="2" t="s">
        <v>28</v>
      </c>
      <c r="G94" s="2" t="s">
        <v>68</v>
      </c>
      <c r="H94" s="2" t="s">
        <v>72</v>
      </c>
      <c r="I94" s="2" t="s">
        <v>184</v>
      </c>
      <c r="J94" s="2" t="s">
        <v>75</v>
      </c>
    </row>
    <row r="95" customFormat="false" ht="15" hidden="false" customHeight="false" outlineLevel="0" collapsed="false">
      <c r="A95" s="22" t="s">
        <v>19</v>
      </c>
      <c r="B95" s="22" t="s">
        <v>20</v>
      </c>
      <c r="C95" s="23" t="n">
        <f aca="false">SUMIFS('Loss time 16-10'!$Q$3:$Q$38,'Loss time 16-10'!$H$3:$H$38,$A95,'Loss time 16-10'!$G$3:$G$38,C$94)</f>
        <v>3.5</v>
      </c>
      <c r="D95" s="23" t="n">
        <f aca="false">SUMIFS('Loss time 16-10'!$Q$3:$Q$38,'Loss time 16-10'!$H$3:$H$38,$A95,'Loss time 16-10'!$G$3:$G$38,D$94)</f>
        <v>9</v>
      </c>
      <c r="E95" s="23" t="n">
        <f aca="false">SUMIFS('Loss time 16-10'!$Q$3:$Q$38,'Loss time 16-10'!$H$3:$H$38,$A95,'Loss time 16-10'!$G$3:$G$38,E$94)</f>
        <v>9.5</v>
      </c>
      <c r="F95" s="23" t="n">
        <f aca="false">SUMIFS('Loss time 16-10'!$Q$3:$Q$38,'Loss time 16-10'!$H$3:$H$38,$A95,'Loss time 16-10'!$G$3:$G$38,F$94)</f>
        <v>25</v>
      </c>
      <c r="G95" s="23" t="n">
        <f aca="false">SUMIFS('Loss time 16-10'!$Q$3:$Q$38,'Loss time 16-10'!$H$3:$H$38,$A95,'Loss time 16-10'!$G$3:$G$38,G$94)</f>
        <v>0</v>
      </c>
      <c r="H95" s="23" t="n">
        <f aca="false">SUMIFS('Loss time 16-10'!$Q$3:$Q$38,'Loss time 16-10'!$H$3:$H$38,$A95,'Loss time 16-10'!$G$3:$G$38,H$94)</f>
        <v>0</v>
      </c>
      <c r="I95" s="23" t="n">
        <f aca="false">SUMIFS('Loss time 16-10'!$Q$3:$Q$38,'Loss time 16-10'!$H$3:$H$38,$A95,'Loss time 16-10'!$G$3:$G$38,I$94)</f>
        <v>0</v>
      </c>
      <c r="J95" s="24" t="n">
        <f aca="false">SUM(C95:I95)</f>
        <v>47</v>
      </c>
    </row>
    <row r="96" customFormat="false" ht="15" hidden="false" customHeight="false" outlineLevel="0" collapsed="false">
      <c r="A96" s="22" t="s">
        <v>30</v>
      </c>
      <c r="B96" s="22" t="s">
        <v>31</v>
      </c>
      <c r="C96" s="23" t="n">
        <f aca="false">SUMIFS('Loss time 16-10'!$Q$3:$Q$38,'Loss time 16-10'!$H$3:$H$38,$A96,'Loss time 16-10'!$G$3:$G$38,C$94)</f>
        <v>12.5</v>
      </c>
      <c r="D96" s="23" t="n">
        <f aca="false">SUMIFS('Loss time 16-10'!$Q$3:$Q$38,'Loss time 16-10'!$H$3:$H$38,$A96,'Loss time 16-10'!$G$3:$G$38,D$94)</f>
        <v>112.5</v>
      </c>
      <c r="E96" s="23" t="n">
        <f aca="false">SUMIFS('Loss time 16-10'!$Q$3:$Q$38,'Loss time 16-10'!$H$3:$H$38,$A96,'Loss time 16-10'!$G$3:$G$38,E$94)</f>
        <v>75</v>
      </c>
      <c r="F96" s="23" t="n">
        <f aca="false">SUMIFS('Loss time 16-10'!$Q$3:$Q$38,'Loss time 16-10'!$H$3:$H$38,$A96,'Loss time 16-10'!$G$3:$G$38,F$94)</f>
        <v>25</v>
      </c>
      <c r="G96" s="23" t="n">
        <f aca="false">SUMIFS('Loss time 16-10'!$Q$3:$Q$38,'Loss time 16-10'!$H$3:$H$38,$A96,'Loss time 16-10'!$G$3:$G$38,G$94)</f>
        <v>0</v>
      </c>
      <c r="H96" s="23" t="n">
        <f aca="false">SUMIFS('Loss time 16-10'!$Q$3:$Q$38,'Loss time 16-10'!$H$3:$H$38,$A96,'Loss time 16-10'!$G$3:$G$38,H$94)</f>
        <v>0</v>
      </c>
      <c r="I96" s="23" t="n">
        <f aca="false">SUMIFS('Loss time 16-10'!$Q$3:$Q$38,'Loss time 16-10'!$H$3:$H$38,$A96,'Loss time 16-10'!$G$3:$G$38,I$94)</f>
        <v>0</v>
      </c>
      <c r="J96" s="24" t="n">
        <f aca="false">SUM(C96:I96)</f>
        <v>225</v>
      </c>
    </row>
    <row r="97" customFormat="false" ht="15" hidden="false" customHeight="false" outlineLevel="0" collapsed="false">
      <c r="A97" s="22" t="s">
        <v>48</v>
      </c>
      <c r="B97" s="22" t="s">
        <v>49</v>
      </c>
      <c r="C97" s="23" t="n">
        <f aca="false">SUMIFS('Loss time 16-10'!$Q$3:$Q$38,'Loss time 16-10'!$H$3:$H$38,$A97,'Loss time 16-10'!$G$3:$G$38,C$94)</f>
        <v>0</v>
      </c>
      <c r="D97" s="23" t="n">
        <f aca="false">SUMIFS('Loss time 16-10'!$Q$3:$Q$38,'Loss time 16-10'!$H$3:$H$38,$A97,'Loss time 16-10'!$G$3:$G$38,D$94)</f>
        <v>0</v>
      </c>
      <c r="E97" s="23" t="n">
        <f aca="false">SUMIFS('Loss time 16-10'!$Q$3:$Q$38,'Loss time 16-10'!$H$3:$H$38,$A97,'Loss time 16-10'!$G$3:$G$38,E$94)</f>
        <v>0</v>
      </c>
      <c r="F97" s="23" t="n">
        <f aca="false">SUMIFS('Loss time 16-10'!$Q$3:$Q$38,'Loss time 16-10'!$H$3:$H$38,$A97,'Loss time 16-10'!$G$3:$G$38,F$94)</f>
        <v>0</v>
      </c>
      <c r="G97" s="23" t="n">
        <f aca="false">SUMIFS('Loss time 16-10'!$Q$3:$Q$38,'Loss time 16-10'!$H$3:$H$38,$A97,'Loss time 16-10'!$G$3:$G$38,G$94)</f>
        <v>0</v>
      </c>
      <c r="H97" s="23" t="n">
        <f aca="false">SUMIFS('Loss time 16-10'!$Q$3:$Q$38,'Loss time 16-10'!$H$3:$H$38,$A97,'Loss time 16-10'!$G$3:$G$38,H$94)</f>
        <v>0</v>
      </c>
      <c r="I97" s="23" t="n">
        <f aca="false">SUMIFS('Loss time 16-10'!$Q$3:$Q$38,'Loss time 16-10'!$H$3:$H$38,$A97,'Loss time 16-10'!$G$3:$G$38,I$94)</f>
        <v>8</v>
      </c>
      <c r="J97" s="24" t="n">
        <f aca="false">SUM(C97:I97)</f>
        <v>8</v>
      </c>
    </row>
    <row r="98" customFormat="false" ht="15" hidden="false" customHeight="false" outlineLevel="0" collapsed="false">
      <c r="A98" s="22" t="s">
        <v>52</v>
      </c>
      <c r="B98" s="22" t="s">
        <v>53</v>
      </c>
      <c r="C98" s="23" t="n">
        <f aca="false">SUMIFS('Loss time 16-10'!$Q$3:$Q$38,'Loss time 16-10'!$H$3:$H$38,$A98,'Loss time 16-10'!$G$3:$G$38,C$94)</f>
        <v>0</v>
      </c>
      <c r="D98" s="23" t="n">
        <f aca="false">SUMIFS('Loss time 16-10'!$Q$3:$Q$38,'Loss time 16-10'!$H$3:$H$38,$A98,'Loss time 16-10'!$G$3:$G$38,D$94)</f>
        <v>0</v>
      </c>
      <c r="E98" s="23" t="n">
        <f aca="false">SUMIFS('Loss time 16-10'!$Q$3:$Q$38,'Loss time 16-10'!$H$3:$H$38,$A98,'Loss time 16-10'!$G$3:$G$38,E$94)</f>
        <v>31.5</v>
      </c>
      <c r="F98" s="23" t="n">
        <f aca="false">SUMIFS('Loss time 16-10'!$Q$3:$Q$38,'Loss time 16-10'!$H$3:$H$38,$A98,'Loss time 16-10'!$G$3:$G$38,F$94)</f>
        <v>126</v>
      </c>
      <c r="G98" s="23" t="n">
        <f aca="false">SUMIFS('Loss time 16-10'!$Q$3:$Q$38,'Loss time 16-10'!$H$3:$H$38,$A98,'Loss time 16-10'!$G$3:$G$38,G$94)</f>
        <v>0</v>
      </c>
      <c r="H98" s="23" t="n">
        <f aca="false">SUMIFS('Loss time 16-10'!$Q$3:$Q$38,'Loss time 16-10'!$H$3:$H$38,$A98,'Loss time 16-10'!$G$3:$G$38,H$94)</f>
        <v>54</v>
      </c>
      <c r="I98" s="23" t="n">
        <f aca="false">SUMIFS('Loss time 16-10'!$Q$3:$Q$38,'Loss time 16-10'!$H$3:$H$38,$A98,'Loss time 16-10'!$G$3:$G$38,I$94)</f>
        <v>0</v>
      </c>
      <c r="J98" s="24" t="n">
        <f aca="false">SUM(C98:I98)</f>
        <v>211.5</v>
      </c>
    </row>
    <row r="99" customFormat="false" ht="15" hidden="false" customHeight="false" outlineLevel="0" collapsed="false">
      <c r="A99" s="25" t="s">
        <v>75</v>
      </c>
      <c r="B99" s="25"/>
      <c r="C99" s="24" t="n">
        <f aca="false">SUM(C95:C98)</f>
        <v>16</v>
      </c>
      <c r="D99" s="24" t="n">
        <f aca="false">SUM(D95:D98)</f>
        <v>121.5</v>
      </c>
      <c r="E99" s="24" t="n">
        <f aca="false">SUM(E95:E98)</f>
        <v>116</v>
      </c>
      <c r="F99" s="24" t="n">
        <f aca="false">SUM(F95:F98)</f>
        <v>176</v>
      </c>
      <c r="G99" s="24" t="n">
        <f aca="false">SUM(G95:G98)</f>
        <v>0</v>
      </c>
      <c r="H99" s="24" t="n">
        <f aca="false">SUM(H95:H98)</f>
        <v>54</v>
      </c>
      <c r="I99" s="24" t="n">
        <f aca="false">SUM(I95:I98)</f>
        <v>8</v>
      </c>
      <c r="J99" s="24" t="n">
        <f aca="false">SUM(J95:J98)</f>
        <v>491.5</v>
      </c>
    </row>
    <row r="102" customFormat="false" ht="15" hidden="false" customHeight="false" outlineLevel="0" collapsed="false">
      <c r="A102" s="18" t="s">
        <v>218</v>
      </c>
    </row>
    <row r="103" customFormat="false" ht="25.35" hidden="false" customHeight="false" outlineLevel="0" collapsed="false">
      <c r="A103" s="2" t="s">
        <v>8</v>
      </c>
      <c r="B103" s="2" t="s">
        <v>207</v>
      </c>
      <c r="C103" s="2" t="s">
        <v>18</v>
      </c>
      <c r="D103" s="2" t="s">
        <v>23</v>
      </c>
      <c r="E103" s="2" t="s">
        <v>25</v>
      </c>
      <c r="F103" s="2" t="s">
        <v>28</v>
      </c>
      <c r="G103" s="2" t="s">
        <v>68</v>
      </c>
      <c r="H103" s="2" t="s">
        <v>72</v>
      </c>
      <c r="I103" s="2" t="s">
        <v>184</v>
      </c>
      <c r="J103" s="2" t="s">
        <v>75</v>
      </c>
    </row>
    <row r="104" customFormat="false" ht="15" hidden="false" customHeight="false" outlineLevel="0" collapsed="false">
      <c r="A104" s="22" t="s">
        <v>19</v>
      </c>
      <c r="B104" s="22" t="s">
        <v>20</v>
      </c>
      <c r="C104" s="23" t="n">
        <f aca="false">SUMIFS('Loss time 17-10'!$Q$3:$Q$38,'Loss time 17-10'!$H$3:$H$38,$A104,'Loss time 17-10'!$G$3:$G$38,C$103)</f>
        <v>3.5</v>
      </c>
      <c r="D104" s="23" t="n">
        <f aca="false">SUMIFS('Loss time 17-10'!$Q$3:$Q$38,'Loss time 17-10'!$H$3:$H$38,$A104,'Loss time 17-10'!$G$3:$G$38,D$103)</f>
        <v>9</v>
      </c>
      <c r="E104" s="23" t="n">
        <f aca="false">SUMIFS('Loss time 17-10'!$Q$3:$Q$38,'Loss time 17-10'!$H$3:$H$38,$A104,'Loss time 17-10'!$G$3:$G$38,E$103)</f>
        <v>9.5</v>
      </c>
      <c r="F104" s="23" t="n">
        <f aca="false">SUMIFS('Loss time 17-10'!$Q$3:$Q$38,'Loss time 17-10'!$H$3:$H$38,$A104,'Loss time 17-10'!$G$3:$G$38,F$103)</f>
        <v>16</v>
      </c>
      <c r="G104" s="23" t="n">
        <f aca="false">SUMIFS('Loss time 17-10'!$Q$3:$Q$38,'Loss time 17-10'!$H$3:$H$38,$A104,'Loss time 17-10'!$G$3:$G$38,G$103)</f>
        <v>0</v>
      </c>
      <c r="H104" s="23" t="n">
        <f aca="false">SUMIFS('Loss time 17-10'!$Q$3:$Q$38,'Loss time 17-10'!$H$3:$H$38,$A104,'Loss time 17-10'!$G$3:$G$38,H$103)</f>
        <v>0</v>
      </c>
      <c r="I104" s="23" t="n">
        <f aca="false">SUMIFS('Loss time 17-10'!$Q$3:$Q$38,'Loss time 17-10'!$H$3:$H$38,$A104,'Loss time 17-10'!$G$3:$G$38,I$103)</f>
        <v>0</v>
      </c>
      <c r="J104" s="24" t="n">
        <f aca="false">SUM(C104:I104)</f>
        <v>38</v>
      </c>
    </row>
    <row r="105" customFormat="false" ht="15" hidden="false" customHeight="false" outlineLevel="0" collapsed="false">
      <c r="A105" s="22" t="s">
        <v>30</v>
      </c>
      <c r="B105" s="22" t="s">
        <v>31</v>
      </c>
      <c r="C105" s="23" t="n">
        <f aca="false">SUMIFS('Loss time 17-10'!$Q$3:$Q$38,'Loss time 17-10'!$H$3:$H$38,$A105,'Loss time 17-10'!$G$3:$G$38,C$103)</f>
        <v>8</v>
      </c>
      <c r="D105" s="23" t="n">
        <f aca="false">SUMIFS('Loss time 17-10'!$Q$3:$Q$38,'Loss time 17-10'!$H$3:$H$38,$A105,'Loss time 17-10'!$G$3:$G$38,D$103)</f>
        <v>72</v>
      </c>
      <c r="E105" s="23" t="n">
        <f aca="false">SUMIFS('Loss time 17-10'!$Q$3:$Q$38,'Loss time 17-10'!$H$3:$H$38,$A105,'Loss time 17-10'!$G$3:$G$38,E$103)</f>
        <v>48</v>
      </c>
      <c r="F105" s="23" t="n">
        <f aca="false">SUMIFS('Loss time 17-10'!$Q$3:$Q$38,'Loss time 17-10'!$H$3:$H$38,$A105,'Loss time 17-10'!$G$3:$G$38,F$103)</f>
        <v>16</v>
      </c>
      <c r="G105" s="23" t="n">
        <f aca="false">SUMIFS('Loss time 17-10'!$Q$3:$Q$38,'Loss time 17-10'!$H$3:$H$38,$A105,'Loss time 17-10'!$G$3:$G$38,G$103)</f>
        <v>0</v>
      </c>
      <c r="H105" s="23" t="n">
        <f aca="false">SUMIFS('Loss time 17-10'!$Q$3:$Q$38,'Loss time 17-10'!$H$3:$H$38,$A105,'Loss time 17-10'!$G$3:$G$38,H$103)</f>
        <v>0</v>
      </c>
      <c r="I105" s="23" t="n">
        <f aca="false">SUMIFS('Loss time 17-10'!$Q$3:$Q$38,'Loss time 17-10'!$H$3:$H$38,$A105,'Loss time 17-10'!$G$3:$G$38,I$103)</f>
        <v>0</v>
      </c>
      <c r="J105" s="24" t="n">
        <f aca="false">SUM(C105:I105)</f>
        <v>144</v>
      </c>
    </row>
    <row r="106" customFormat="false" ht="15" hidden="false" customHeight="false" outlineLevel="0" collapsed="false">
      <c r="A106" s="22" t="s">
        <v>48</v>
      </c>
      <c r="B106" s="22" t="s">
        <v>49</v>
      </c>
      <c r="C106" s="23" t="n">
        <f aca="false">SUMIFS('Loss time 17-10'!$Q$3:$Q$38,'Loss time 17-10'!$H$3:$H$38,$A106,'Loss time 17-10'!$G$3:$G$38,C$103)</f>
        <v>0</v>
      </c>
      <c r="D106" s="23" t="n">
        <f aca="false">SUMIFS('Loss time 17-10'!$Q$3:$Q$38,'Loss time 17-10'!$H$3:$H$38,$A106,'Loss time 17-10'!$G$3:$G$38,D$103)</f>
        <v>0</v>
      </c>
      <c r="E106" s="23" t="n">
        <f aca="false">SUMIFS('Loss time 17-10'!$Q$3:$Q$38,'Loss time 17-10'!$H$3:$H$38,$A106,'Loss time 17-10'!$G$3:$G$38,E$103)</f>
        <v>0</v>
      </c>
      <c r="F106" s="23" t="n">
        <f aca="false">SUMIFS('Loss time 17-10'!$Q$3:$Q$38,'Loss time 17-10'!$H$3:$H$38,$A106,'Loss time 17-10'!$G$3:$G$38,F$103)</f>
        <v>0</v>
      </c>
      <c r="G106" s="23" t="n">
        <f aca="false">SUMIFS('Loss time 17-10'!$Q$3:$Q$38,'Loss time 17-10'!$H$3:$H$38,$A106,'Loss time 17-10'!$G$3:$G$38,G$103)</f>
        <v>0</v>
      </c>
      <c r="H106" s="23" t="n">
        <f aca="false">SUMIFS('Loss time 17-10'!$Q$3:$Q$38,'Loss time 17-10'!$H$3:$H$38,$A106,'Loss time 17-10'!$G$3:$G$38,H$103)</f>
        <v>0</v>
      </c>
      <c r="I106" s="23" t="n">
        <f aca="false">SUMIFS('Loss time 17-10'!$Q$3:$Q$38,'Loss time 17-10'!$H$3:$H$38,$A106,'Loss time 17-10'!$G$3:$G$38,I$103)</f>
        <v>0</v>
      </c>
      <c r="J106" s="24" t="n">
        <f aca="false">SUM(C106:I106)</f>
        <v>0</v>
      </c>
    </row>
    <row r="107" customFormat="false" ht="15" hidden="false" customHeight="false" outlineLevel="0" collapsed="false">
      <c r="A107" s="22" t="s">
        <v>52</v>
      </c>
      <c r="B107" s="22" t="s">
        <v>53</v>
      </c>
      <c r="C107" s="23" t="n">
        <f aca="false">SUMIFS('Loss time 17-10'!$Q$3:$Q$38,'Loss time 17-10'!$H$3:$H$38,$A107,'Loss time 17-10'!$G$3:$G$38,C$103)</f>
        <v>0</v>
      </c>
      <c r="D107" s="23" t="n">
        <f aca="false">SUMIFS('Loss time 17-10'!$Q$3:$Q$38,'Loss time 17-10'!$H$3:$H$38,$A107,'Loss time 17-10'!$G$3:$G$38,D$103)</f>
        <v>0</v>
      </c>
      <c r="E107" s="23" t="n">
        <f aca="false">SUMIFS('Loss time 17-10'!$Q$3:$Q$38,'Loss time 17-10'!$H$3:$H$38,$A107,'Loss time 17-10'!$G$3:$G$38,E$103)</f>
        <v>31.5</v>
      </c>
      <c r="F107" s="23" t="n">
        <f aca="false">SUMIFS('Loss time 17-10'!$Q$3:$Q$38,'Loss time 17-10'!$H$3:$H$38,$A107,'Loss time 17-10'!$G$3:$G$38,F$103)</f>
        <v>126</v>
      </c>
      <c r="G107" s="23" t="n">
        <f aca="false">SUMIFS('Loss time 17-10'!$Q$3:$Q$38,'Loss time 17-10'!$H$3:$H$38,$A107,'Loss time 17-10'!$G$3:$G$38,G$103)</f>
        <v>0</v>
      </c>
      <c r="H107" s="23" t="n">
        <f aca="false">SUMIFS('Loss time 17-10'!$Q$3:$Q$38,'Loss time 17-10'!$H$3:$H$38,$A107,'Loss time 17-10'!$G$3:$G$38,H$103)</f>
        <v>54</v>
      </c>
      <c r="I107" s="23" t="n">
        <f aca="false">SUMIFS('Loss time 17-10'!$Q$3:$Q$38,'Loss time 17-10'!$H$3:$H$38,$A107,'Loss time 17-10'!$G$3:$G$38,I$103)</f>
        <v>4.5</v>
      </c>
      <c r="J107" s="24" t="n">
        <f aca="false">SUM(C107:I107)</f>
        <v>216</v>
      </c>
    </row>
    <row r="108" customFormat="false" ht="15" hidden="false" customHeight="false" outlineLevel="0" collapsed="false">
      <c r="A108" s="25" t="s">
        <v>75</v>
      </c>
      <c r="B108" s="25"/>
      <c r="C108" s="24" t="n">
        <f aca="false">SUM(C104:C107)</f>
        <v>11.5</v>
      </c>
      <c r="D108" s="24" t="n">
        <f aca="false">SUM(D104:D107)</f>
        <v>81</v>
      </c>
      <c r="E108" s="24" t="n">
        <f aca="false">SUM(E104:E107)</f>
        <v>89</v>
      </c>
      <c r="F108" s="24" t="n">
        <f aca="false">SUM(F104:F107)</f>
        <v>158</v>
      </c>
      <c r="G108" s="24" t="n">
        <f aca="false">SUM(G104:G107)</f>
        <v>0</v>
      </c>
      <c r="H108" s="24" t="n">
        <f aca="false">SUM(H104:H107)</f>
        <v>54</v>
      </c>
      <c r="I108" s="24" t="n">
        <f aca="false">SUM(I104:I107)</f>
        <v>4.5</v>
      </c>
      <c r="J108" s="24" t="n">
        <f aca="false">SUM(J104:J107)</f>
        <v>398</v>
      </c>
    </row>
    <row r="110" customFormat="false" ht="15" hidden="false" customHeight="false" outlineLevel="0" collapsed="false">
      <c r="A110" s="20" t="s">
        <v>219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6"/>
    <col collapsed="false" customWidth="true" hidden="false" outlineLevel="0" max="15" min="4" style="0" width="16"/>
    <col collapsed="false" customWidth="true" hidden="false" outlineLevel="0" max="16" min="16" style="0" width="26"/>
  </cols>
  <sheetData>
    <row r="1" customFormat="false" ht="17.35" hidden="false" customHeight="false" outlineLevel="0" collapsed="false">
      <c r="A1" s="21" t="s">
        <v>220</v>
      </c>
    </row>
    <row r="3" customFormat="false" ht="31.5" hidden="false" customHeight="true" outlineLevel="0" collapsed="false">
      <c r="A3" s="2" t="s">
        <v>221</v>
      </c>
      <c r="B3" s="2" t="s">
        <v>222</v>
      </c>
      <c r="C3" s="2" t="s">
        <v>16</v>
      </c>
      <c r="D3" s="2" t="s">
        <v>223</v>
      </c>
      <c r="E3" s="2" t="s">
        <v>224</v>
      </c>
      <c r="F3" s="2" t="s">
        <v>225</v>
      </c>
      <c r="G3" s="2" t="s">
        <v>226</v>
      </c>
      <c r="H3" s="2" t="s">
        <v>227</v>
      </c>
      <c r="I3" s="2" t="s">
        <v>228</v>
      </c>
      <c r="J3" s="2" t="s">
        <v>229</v>
      </c>
      <c r="K3" s="2" t="s">
        <v>230</v>
      </c>
      <c r="L3" s="2" t="s">
        <v>231</v>
      </c>
      <c r="M3" s="2" t="s">
        <v>232</v>
      </c>
      <c r="N3" s="2" t="s">
        <v>233</v>
      </c>
      <c r="O3" s="2" t="s">
        <v>234</v>
      </c>
      <c r="P3" s="2" t="s">
        <v>235</v>
      </c>
    </row>
    <row r="4" customFormat="false" ht="15" hidden="false" customHeight="false" outlineLevel="0" collapsed="false">
      <c r="A4" s="8" t="s">
        <v>236</v>
      </c>
      <c r="B4" s="8" t="s">
        <v>184</v>
      </c>
      <c r="C4" s="8" t="n">
        <v>1</v>
      </c>
      <c r="D4" s="8" t="s">
        <v>237</v>
      </c>
      <c r="E4" s="8" t="s">
        <v>237</v>
      </c>
      <c r="F4" s="8" t="s">
        <v>237</v>
      </c>
      <c r="G4" s="8" t="s">
        <v>237</v>
      </c>
      <c r="H4" s="8" t="s">
        <v>237</v>
      </c>
      <c r="I4" s="8" t="s">
        <v>237</v>
      </c>
      <c r="J4" s="8" t="s">
        <v>237</v>
      </c>
      <c r="K4" s="8" t="s">
        <v>237</v>
      </c>
      <c r="L4" s="8" t="s">
        <v>237</v>
      </c>
      <c r="M4" s="8" t="s">
        <v>237</v>
      </c>
      <c r="N4" s="8" t="s">
        <v>48</v>
      </c>
      <c r="O4" s="8" t="s">
        <v>238</v>
      </c>
      <c r="P4" s="26" t="n">
        <f aca="false">WORKDAY.INTL(DATE(2026,10,16),12,11)</f>
        <v>46325</v>
      </c>
    </row>
    <row r="5" customFormat="false" ht="15" hidden="false" customHeight="false" outlineLevel="0" collapsed="false">
      <c r="A5" s="8" t="s">
        <v>239</v>
      </c>
      <c r="B5" s="8" t="s">
        <v>28</v>
      </c>
      <c r="C5" s="8" t="n">
        <v>4</v>
      </c>
      <c r="D5" s="8" t="s">
        <v>237</v>
      </c>
      <c r="E5" s="8" t="s">
        <v>237</v>
      </c>
      <c r="F5" s="8" t="s">
        <v>237</v>
      </c>
      <c r="G5" s="8" t="s">
        <v>237</v>
      </c>
      <c r="H5" s="8" t="s">
        <v>237</v>
      </c>
      <c r="I5" s="8" t="s">
        <v>237</v>
      </c>
      <c r="J5" s="8" t="s">
        <v>237</v>
      </c>
      <c r="K5" s="8" t="s">
        <v>237</v>
      </c>
      <c r="L5" s="8" t="s">
        <v>237</v>
      </c>
      <c r="M5" s="8" t="s">
        <v>48</v>
      </c>
      <c r="N5" s="8" t="s">
        <v>238</v>
      </c>
      <c r="O5" s="8" t="s">
        <v>240</v>
      </c>
      <c r="P5" s="26" t="n">
        <f aca="false">WORKDAY.INTL(DATE(2026,10,15),12,11)</f>
        <v>46324</v>
      </c>
    </row>
    <row r="6" customFormat="false" ht="15" hidden="false" customHeight="false" outlineLevel="0" collapsed="false">
      <c r="A6" s="8" t="s">
        <v>241</v>
      </c>
      <c r="B6" s="8" t="s">
        <v>28</v>
      </c>
      <c r="C6" s="8" t="n">
        <v>1</v>
      </c>
      <c r="D6" s="8" t="s">
        <v>237</v>
      </c>
      <c r="E6" s="8" t="s">
        <v>237</v>
      </c>
      <c r="F6" s="8" t="s">
        <v>237</v>
      </c>
      <c r="G6" s="8" t="s">
        <v>237</v>
      </c>
      <c r="H6" s="8" t="s">
        <v>237</v>
      </c>
      <c r="I6" s="8" t="s">
        <v>237</v>
      </c>
      <c r="J6" s="8" t="s">
        <v>237</v>
      </c>
      <c r="K6" s="8" t="s">
        <v>237</v>
      </c>
      <c r="L6" s="8" t="s">
        <v>48</v>
      </c>
      <c r="M6" s="8" t="s">
        <v>238</v>
      </c>
      <c r="N6" s="8" t="s">
        <v>240</v>
      </c>
      <c r="O6" s="8" t="s">
        <v>242</v>
      </c>
      <c r="P6" s="26" t="n">
        <f aca="false">WORKDAY.INTL(DATE(2026,10,14),12,11)</f>
        <v>46323</v>
      </c>
    </row>
    <row r="7" customFormat="false" ht="15" hidden="false" customHeight="false" outlineLevel="0" collapsed="false">
      <c r="A7" s="8" t="s">
        <v>243</v>
      </c>
      <c r="B7" s="8" t="s">
        <v>28</v>
      </c>
      <c r="C7" s="8" t="n">
        <v>2</v>
      </c>
      <c r="D7" s="8" t="s">
        <v>237</v>
      </c>
      <c r="E7" s="8" t="s">
        <v>237</v>
      </c>
      <c r="F7" s="8" t="s">
        <v>237</v>
      </c>
      <c r="G7" s="8" t="s">
        <v>237</v>
      </c>
      <c r="H7" s="8" t="s">
        <v>237</v>
      </c>
      <c r="I7" s="8" t="s">
        <v>237</v>
      </c>
      <c r="J7" s="8" t="s">
        <v>237</v>
      </c>
      <c r="K7" s="8" t="s">
        <v>48</v>
      </c>
      <c r="L7" s="8" t="s">
        <v>238</v>
      </c>
      <c r="M7" s="8" t="s">
        <v>240</v>
      </c>
      <c r="N7" s="8" t="s">
        <v>242</v>
      </c>
      <c r="O7" s="8" t="s">
        <v>244</v>
      </c>
      <c r="P7" s="26" t="n">
        <f aca="false">WORKDAY.INTL(DATE(2026,10,13),12,11)</f>
        <v>46322</v>
      </c>
    </row>
    <row r="8" customFormat="false" ht="15" hidden="false" customHeight="false" outlineLevel="0" collapsed="false">
      <c r="A8" s="8" t="s">
        <v>243</v>
      </c>
      <c r="B8" s="8" t="s">
        <v>72</v>
      </c>
      <c r="C8" s="8" t="n">
        <v>4</v>
      </c>
      <c r="D8" s="8" t="s">
        <v>237</v>
      </c>
      <c r="E8" s="8" t="s">
        <v>237</v>
      </c>
      <c r="F8" s="8" t="s">
        <v>237</v>
      </c>
      <c r="G8" s="8" t="s">
        <v>237</v>
      </c>
      <c r="H8" s="8" t="s">
        <v>237</v>
      </c>
      <c r="I8" s="8" t="s">
        <v>237</v>
      </c>
      <c r="J8" s="8" t="s">
        <v>237</v>
      </c>
      <c r="K8" s="8" t="s">
        <v>48</v>
      </c>
      <c r="L8" s="8" t="s">
        <v>238</v>
      </c>
      <c r="M8" s="8" t="s">
        <v>240</v>
      </c>
      <c r="N8" s="8" t="s">
        <v>242</v>
      </c>
      <c r="O8" s="8" t="s">
        <v>244</v>
      </c>
      <c r="P8" s="26" t="n">
        <f aca="false">WORKDAY.INTL(DATE(2026,10,13),12,11)</f>
        <v>46322</v>
      </c>
    </row>
    <row r="9" customFormat="false" ht="15" hidden="false" customHeight="false" outlineLevel="0" collapsed="false">
      <c r="A9" s="8" t="s">
        <v>243</v>
      </c>
      <c r="B9" s="8" t="s">
        <v>25</v>
      </c>
      <c r="C9" s="8" t="n">
        <v>1</v>
      </c>
      <c r="D9" s="8" t="s">
        <v>237</v>
      </c>
      <c r="E9" s="8" t="s">
        <v>237</v>
      </c>
      <c r="F9" s="8" t="s">
        <v>237</v>
      </c>
      <c r="G9" s="8" t="s">
        <v>237</v>
      </c>
      <c r="H9" s="8" t="s">
        <v>237</v>
      </c>
      <c r="I9" s="8" t="s">
        <v>237</v>
      </c>
      <c r="J9" s="8" t="s">
        <v>237</v>
      </c>
      <c r="K9" s="8" t="s">
        <v>48</v>
      </c>
      <c r="L9" s="8" t="s">
        <v>238</v>
      </c>
      <c r="M9" s="8" t="s">
        <v>240</v>
      </c>
      <c r="N9" s="8" t="s">
        <v>242</v>
      </c>
      <c r="O9" s="8" t="s">
        <v>244</v>
      </c>
      <c r="P9" s="26" t="n">
        <f aca="false">WORKDAY.INTL(DATE(2026,10,13),12,11)</f>
        <v>46322</v>
      </c>
    </row>
    <row r="10" customFormat="false" ht="15" hidden="false" customHeight="false" outlineLevel="0" collapsed="false">
      <c r="A10" s="8" t="s">
        <v>245</v>
      </c>
      <c r="B10" s="8" t="s">
        <v>28</v>
      </c>
      <c r="C10" s="8" t="n">
        <v>2</v>
      </c>
      <c r="D10" s="8" t="s">
        <v>237</v>
      </c>
      <c r="E10" s="8" t="s">
        <v>237</v>
      </c>
      <c r="F10" s="8" t="s">
        <v>237</v>
      </c>
      <c r="G10" s="8" t="s">
        <v>237</v>
      </c>
      <c r="H10" s="8" t="s">
        <v>237</v>
      </c>
      <c r="I10" s="8" t="s">
        <v>237</v>
      </c>
      <c r="J10" s="8" t="s">
        <v>48</v>
      </c>
      <c r="K10" s="8" t="s">
        <v>238</v>
      </c>
      <c r="L10" s="8" t="s">
        <v>240</v>
      </c>
      <c r="M10" s="8" t="s">
        <v>242</v>
      </c>
      <c r="N10" s="8" t="s">
        <v>244</v>
      </c>
      <c r="O10" s="8" t="s">
        <v>246</v>
      </c>
      <c r="P10" s="26" t="n">
        <f aca="false">WORKDAY.INTL(DATE(2026,10,12),12,11)</f>
        <v>46321</v>
      </c>
    </row>
    <row r="11" customFormat="false" ht="15" hidden="false" customHeight="false" outlineLevel="0" collapsed="false">
      <c r="A11" s="8" t="s">
        <v>245</v>
      </c>
      <c r="B11" s="8" t="s">
        <v>72</v>
      </c>
      <c r="C11" s="8" t="n">
        <v>1</v>
      </c>
      <c r="D11" s="8" t="s">
        <v>237</v>
      </c>
      <c r="E11" s="8" t="s">
        <v>237</v>
      </c>
      <c r="F11" s="8" t="s">
        <v>237</v>
      </c>
      <c r="G11" s="8" t="s">
        <v>237</v>
      </c>
      <c r="H11" s="8" t="s">
        <v>237</v>
      </c>
      <c r="I11" s="8" t="s">
        <v>237</v>
      </c>
      <c r="J11" s="8" t="s">
        <v>48</v>
      </c>
      <c r="K11" s="8" t="s">
        <v>238</v>
      </c>
      <c r="L11" s="8" t="s">
        <v>240</v>
      </c>
      <c r="M11" s="8" t="s">
        <v>242</v>
      </c>
      <c r="N11" s="8" t="s">
        <v>244</v>
      </c>
      <c r="O11" s="8" t="s">
        <v>246</v>
      </c>
      <c r="P11" s="26" t="n">
        <f aca="false">WORKDAY.INTL(DATE(2026,10,12),12,11)</f>
        <v>46321</v>
      </c>
    </row>
    <row r="12" customFormat="false" ht="15" hidden="false" customHeight="false" outlineLevel="0" collapsed="false">
      <c r="A12" s="8" t="s">
        <v>247</v>
      </c>
      <c r="B12" s="8" t="s">
        <v>72</v>
      </c>
      <c r="C12" s="8" t="n">
        <v>1</v>
      </c>
      <c r="D12" s="8" t="s">
        <v>237</v>
      </c>
      <c r="E12" s="8" t="s">
        <v>237</v>
      </c>
      <c r="F12" s="8" t="s">
        <v>237</v>
      </c>
      <c r="G12" s="8" t="s">
        <v>48</v>
      </c>
      <c r="H12" s="8" t="s">
        <v>238</v>
      </c>
      <c r="I12" s="8" t="s">
        <v>240</v>
      </c>
      <c r="J12" s="8" t="s">
        <v>242</v>
      </c>
      <c r="K12" s="8" t="s">
        <v>244</v>
      </c>
      <c r="L12" s="8" t="s">
        <v>246</v>
      </c>
      <c r="M12" s="8" t="s">
        <v>248</v>
      </c>
      <c r="N12" s="8" t="s">
        <v>249</v>
      </c>
      <c r="O12" s="8" t="s">
        <v>250</v>
      </c>
      <c r="P12" s="26" t="n">
        <f aca="false">WORKDAY.INTL(DATE(2026,10,8),12,11)</f>
        <v>46317</v>
      </c>
    </row>
    <row r="13" customFormat="false" ht="15" hidden="false" customHeight="false" outlineLevel="0" collapsed="false">
      <c r="A13" s="8" t="s">
        <v>247</v>
      </c>
      <c r="B13" s="8" t="s">
        <v>25</v>
      </c>
      <c r="C13" s="8" t="n">
        <v>3</v>
      </c>
      <c r="D13" s="8" t="s">
        <v>237</v>
      </c>
      <c r="E13" s="8" t="s">
        <v>237</v>
      </c>
      <c r="F13" s="8" t="s">
        <v>237</v>
      </c>
      <c r="G13" s="8" t="s">
        <v>48</v>
      </c>
      <c r="H13" s="8" t="s">
        <v>238</v>
      </c>
      <c r="I13" s="8" t="s">
        <v>240</v>
      </c>
      <c r="J13" s="8" t="s">
        <v>242</v>
      </c>
      <c r="K13" s="8" t="s">
        <v>244</v>
      </c>
      <c r="L13" s="8" t="s">
        <v>246</v>
      </c>
      <c r="M13" s="8" t="s">
        <v>248</v>
      </c>
      <c r="N13" s="8" t="s">
        <v>249</v>
      </c>
      <c r="O13" s="8" t="s">
        <v>250</v>
      </c>
      <c r="P13" s="26" t="n">
        <f aca="false">WORKDAY.INTL(DATE(2026,10,8),12,11)</f>
        <v>46317</v>
      </c>
    </row>
    <row r="14" customFormat="false" ht="15" hidden="false" customHeight="false" outlineLevel="0" collapsed="false">
      <c r="A14" s="8" t="s">
        <v>251</v>
      </c>
      <c r="B14" s="8" t="s">
        <v>28</v>
      </c>
      <c r="C14" s="8" t="n">
        <v>6</v>
      </c>
      <c r="D14" s="8" t="s">
        <v>237</v>
      </c>
      <c r="E14" s="8" t="s">
        <v>237</v>
      </c>
      <c r="F14" s="8" t="s">
        <v>48</v>
      </c>
      <c r="G14" s="8" t="s">
        <v>238</v>
      </c>
      <c r="H14" s="8" t="s">
        <v>240</v>
      </c>
      <c r="I14" s="8" t="s">
        <v>242</v>
      </c>
      <c r="J14" s="8" t="s">
        <v>244</v>
      </c>
      <c r="K14" s="8" t="s">
        <v>246</v>
      </c>
      <c r="L14" s="8" t="s">
        <v>248</v>
      </c>
      <c r="M14" s="8" t="s">
        <v>249</v>
      </c>
      <c r="N14" s="8" t="s">
        <v>250</v>
      </c>
      <c r="O14" s="8" t="s">
        <v>252</v>
      </c>
      <c r="P14" s="26" t="n">
        <f aca="false">WORKDAY.INTL(DATE(2026,10,7),12,11)</f>
        <v>46316</v>
      </c>
    </row>
    <row r="15" customFormat="false" ht="15" hidden="false" customHeight="false" outlineLevel="0" collapsed="false">
      <c r="A15" s="8" t="s">
        <v>251</v>
      </c>
      <c r="B15" s="8" t="s">
        <v>72</v>
      </c>
      <c r="C15" s="8" t="n">
        <v>2</v>
      </c>
      <c r="D15" s="8" t="s">
        <v>237</v>
      </c>
      <c r="E15" s="8" t="s">
        <v>237</v>
      </c>
      <c r="F15" s="8" t="s">
        <v>48</v>
      </c>
      <c r="G15" s="8" t="s">
        <v>238</v>
      </c>
      <c r="H15" s="8" t="s">
        <v>240</v>
      </c>
      <c r="I15" s="8" t="s">
        <v>242</v>
      </c>
      <c r="J15" s="8" t="s">
        <v>244</v>
      </c>
      <c r="K15" s="8" t="s">
        <v>246</v>
      </c>
      <c r="L15" s="8" t="s">
        <v>248</v>
      </c>
      <c r="M15" s="8" t="s">
        <v>249</v>
      </c>
      <c r="N15" s="8" t="s">
        <v>250</v>
      </c>
      <c r="O15" s="8" t="s">
        <v>252</v>
      </c>
      <c r="P15" s="26" t="n">
        <f aca="false">WORKDAY.INTL(DATE(2026,10,7),12,11)</f>
        <v>46316</v>
      </c>
    </row>
    <row r="16" customFormat="false" ht="15" hidden="false" customHeight="false" outlineLevel="0" collapsed="false">
      <c r="A16" s="8" t="s">
        <v>253</v>
      </c>
      <c r="B16" s="8" t="s">
        <v>28</v>
      </c>
      <c r="C16" s="8" t="n">
        <v>7</v>
      </c>
      <c r="D16" s="8" t="s">
        <v>237</v>
      </c>
      <c r="E16" s="8" t="s">
        <v>48</v>
      </c>
      <c r="F16" s="8" t="s">
        <v>238</v>
      </c>
      <c r="G16" s="8" t="s">
        <v>240</v>
      </c>
      <c r="H16" s="8" t="s">
        <v>242</v>
      </c>
      <c r="I16" s="8" t="s">
        <v>244</v>
      </c>
      <c r="J16" s="8" t="s">
        <v>246</v>
      </c>
      <c r="K16" s="8" t="s">
        <v>248</v>
      </c>
      <c r="L16" s="8" t="s">
        <v>249</v>
      </c>
      <c r="M16" s="8" t="s">
        <v>250</v>
      </c>
      <c r="N16" s="8" t="s">
        <v>252</v>
      </c>
      <c r="O16" s="8" t="s">
        <v>254</v>
      </c>
      <c r="P16" s="26" t="n">
        <f aca="false">WORKDAY.INTL(DATE(2026,10,6),12,11)</f>
        <v>46315</v>
      </c>
    </row>
    <row r="17" customFormat="false" ht="15" hidden="false" customHeight="false" outlineLevel="0" collapsed="false">
      <c r="A17" s="8" t="s">
        <v>253</v>
      </c>
      <c r="B17" s="8" t="s">
        <v>72</v>
      </c>
      <c r="C17" s="8" t="n">
        <v>4</v>
      </c>
      <c r="D17" s="8" t="s">
        <v>237</v>
      </c>
      <c r="E17" s="8" t="s">
        <v>48</v>
      </c>
      <c r="F17" s="8" t="s">
        <v>238</v>
      </c>
      <c r="G17" s="8" t="s">
        <v>240</v>
      </c>
      <c r="H17" s="8" t="s">
        <v>242</v>
      </c>
      <c r="I17" s="8" t="s">
        <v>244</v>
      </c>
      <c r="J17" s="8" t="s">
        <v>246</v>
      </c>
      <c r="K17" s="8" t="s">
        <v>248</v>
      </c>
      <c r="L17" s="8" t="s">
        <v>249</v>
      </c>
      <c r="M17" s="8" t="s">
        <v>250</v>
      </c>
      <c r="N17" s="8" t="s">
        <v>252</v>
      </c>
      <c r="O17" s="8" t="s">
        <v>254</v>
      </c>
      <c r="P17" s="26" t="n">
        <f aca="false">WORKDAY.INTL(DATE(2026,10,6),12,11)</f>
        <v>46315</v>
      </c>
    </row>
    <row r="18" customFormat="false" ht="15" hidden="false" customHeight="false" outlineLevel="0" collapsed="false">
      <c r="A18" s="8" t="s">
        <v>253</v>
      </c>
      <c r="B18" s="8" t="s">
        <v>25</v>
      </c>
      <c r="C18" s="8" t="n">
        <v>3</v>
      </c>
      <c r="D18" s="8" t="s">
        <v>237</v>
      </c>
      <c r="E18" s="8" t="s">
        <v>48</v>
      </c>
      <c r="F18" s="8" t="s">
        <v>238</v>
      </c>
      <c r="G18" s="8" t="s">
        <v>240</v>
      </c>
      <c r="H18" s="8" t="s">
        <v>242</v>
      </c>
      <c r="I18" s="8" t="s">
        <v>244</v>
      </c>
      <c r="J18" s="8" t="s">
        <v>246</v>
      </c>
      <c r="K18" s="8" t="s">
        <v>248</v>
      </c>
      <c r="L18" s="8" t="s">
        <v>249</v>
      </c>
      <c r="M18" s="8" t="s">
        <v>250</v>
      </c>
      <c r="N18" s="8" t="s">
        <v>252</v>
      </c>
      <c r="O18" s="8" t="s">
        <v>254</v>
      </c>
      <c r="P18" s="26" t="n">
        <f aca="false">WORKDAY.INTL(DATE(2026,10,6),12,11)</f>
        <v>46315</v>
      </c>
    </row>
    <row r="19" customFormat="false" ht="15" hidden="false" customHeight="false" outlineLevel="0" collapsed="false">
      <c r="A19" s="8" t="s">
        <v>255</v>
      </c>
      <c r="B19" s="8" t="s">
        <v>28</v>
      </c>
      <c r="C19" s="8" t="n">
        <v>6</v>
      </c>
      <c r="D19" s="8" t="s">
        <v>48</v>
      </c>
      <c r="E19" s="8" t="s">
        <v>238</v>
      </c>
      <c r="F19" s="8" t="s">
        <v>240</v>
      </c>
      <c r="G19" s="8" t="s">
        <v>242</v>
      </c>
      <c r="H19" s="8" t="s">
        <v>244</v>
      </c>
      <c r="I19" s="8" t="s">
        <v>246</v>
      </c>
      <c r="J19" s="8" t="s">
        <v>248</v>
      </c>
      <c r="K19" s="8" t="s">
        <v>249</v>
      </c>
      <c r="L19" s="8" t="s">
        <v>250</v>
      </c>
      <c r="M19" s="8" t="s">
        <v>252</v>
      </c>
      <c r="N19" s="8" t="s">
        <v>254</v>
      </c>
      <c r="O19" s="8" t="s">
        <v>256</v>
      </c>
      <c r="P19" s="26" t="n">
        <f aca="false">WORKDAY.INTL(DATE(2026,10,5),12,11)</f>
        <v>46314</v>
      </c>
    </row>
    <row r="20" customFormat="false" ht="15" hidden="false" customHeight="false" outlineLevel="0" collapsed="false">
      <c r="A20" s="13" t="s">
        <v>257</v>
      </c>
      <c r="B20" s="13" t="s">
        <v>28</v>
      </c>
      <c r="C20" s="13" t="n">
        <v>7</v>
      </c>
      <c r="D20" s="13" t="s">
        <v>246</v>
      </c>
      <c r="E20" s="13" t="s">
        <v>248</v>
      </c>
      <c r="F20" s="13" t="s">
        <v>249</v>
      </c>
      <c r="G20" s="13" t="s">
        <v>250</v>
      </c>
      <c r="H20" s="13" t="s">
        <v>252</v>
      </c>
      <c r="I20" s="13" t="s">
        <v>254</v>
      </c>
      <c r="J20" s="13" t="s">
        <v>256</v>
      </c>
      <c r="K20" s="13" t="s">
        <v>258</v>
      </c>
      <c r="L20" s="13" t="s">
        <v>259</v>
      </c>
      <c r="M20" s="13" t="s">
        <v>259</v>
      </c>
      <c r="N20" s="13" t="s">
        <v>259</v>
      </c>
      <c r="O20" s="13" t="s">
        <v>259</v>
      </c>
      <c r="P20" s="27" t="n">
        <f aca="false">WORKDAY.INTL(DATE(2026,10,5),7,11)</f>
        <v>46308</v>
      </c>
    </row>
    <row r="21" customFormat="false" ht="15" hidden="false" customHeight="false" outlineLevel="0" collapsed="false">
      <c r="A21" s="13" t="s">
        <v>260</v>
      </c>
      <c r="B21" s="13" t="s">
        <v>28</v>
      </c>
      <c r="C21" s="13" t="n">
        <v>3</v>
      </c>
      <c r="D21" s="13" t="s">
        <v>254</v>
      </c>
      <c r="E21" s="13" t="s">
        <v>256</v>
      </c>
      <c r="F21" s="13" t="s">
        <v>258</v>
      </c>
      <c r="G21" s="13" t="s">
        <v>259</v>
      </c>
      <c r="H21" s="13" t="s">
        <v>259</v>
      </c>
      <c r="I21" s="13" t="s">
        <v>259</v>
      </c>
      <c r="J21" s="13" t="s">
        <v>259</v>
      </c>
      <c r="K21" s="13" t="s">
        <v>259</v>
      </c>
      <c r="L21" s="13" t="s">
        <v>259</v>
      </c>
      <c r="M21" s="13" t="s">
        <v>259</v>
      </c>
      <c r="N21" s="13" t="s">
        <v>259</v>
      </c>
      <c r="O21" s="13" t="s">
        <v>259</v>
      </c>
      <c r="P21" s="27" t="n">
        <f aca="false">WORKDAY.INTL(DATE(2026,10,5),2,11)</f>
        <v>46302</v>
      </c>
    </row>
    <row r="22" customFormat="false" ht="15" hidden="false" customHeight="false" outlineLevel="0" collapsed="false">
      <c r="A22" s="13" t="s">
        <v>261</v>
      </c>
      <c r="B22" s="13" t="s">
        <v>28</v>
      </c>
      <c r="C22" s="13" t="n">
        <v>5</v>
      </c>
      <c r="D22" s="13" t="s">
        <v>246</v>
      </c>
      <c r="E22" s="13" t="s">
        <v>248</v>
      </c>
      <c r="F22" s="13" t="s">
        <v>249</v>
      </c>
      <c r="G22" s="13" t="s">
        <v>250</v>
      </c>
      <c r="H22" s="13" t="s">
        <v>252</v>
      </c>
      <c r="I22" s="13" t="s">
        <v>254</v>
      </c>
      <c r="J22" s="13" t="s">
        <v>256</v>
      </c>
      <c r="K22" s="13" t="s">
        <v>258</v>
      </c>
      <c r="L22" s="13" t="s">
        <v>259</v>
      </c>
      <c r="M22" s="13" t="s">
        <v>259</v>
      </c>
      <c r="N22" s="13" t="s">
        <v>259</v>
      </c>
      <c r="O22" s="13" t="s">
        <v>259</v>
      </c>
      <c r="P22" s="27" t="n">
        <f aca="false">WORKDAY.INTL(DATE(2026,10,5),7,11)</f>
        <v>46308</v>
      </c>
    </row>
    <row r="23" customFormat="false" ht="15" hidden="false" customHeight="false" outlineLevel="0" collapsed="false">
      <c r="A23" s="13" t="s">
        <v>262</v>
      </c>
      <c r="B23" s="13" t="s">
        <v>28</v>
      </c>
      <c r="C23" s="13" t="n">
        <v>1</v>
      </c>
      <c r="D23" s="13" t="s">
        <v>246</v>
      </c>
      <c r="E23" s="13" t="s">
        <v>248</v>
      </c>
      <c r="F23" s="13" t="s">
        <v>249</v>
      </c>
      <c r="G23" s="13" t="s">
        <v>250</v>
      </c>
      <c r="H23" s="13" t="s">
        <v>252</v>
      </c>
      <c r="I23" s="13" t="s">
        <v>254</v>
      </c>
      <c r="J23" s="13" t="s">
        <v>256</v>
      </c>
      <c r="K23" s="13" t="s">
        <v>258</v>
      </c>
      <c r="L23" s="13" t="s">
        <v>259</v>
      </c>
      <c r="M23" s="13" t="s">
        <v>259</v>
      </c>
      <c r="N23" s="13" t="s">
        <v>259</v>
      </c>
      <c r="O23" s="13" t="s">
        <v>259</v>
      </c>
      <c r="P23" s="27" t="n">
        <f aca="false">WORKDAY.INTL(DATE(2026,10,5),7,11)</f>
        <v>46308</v>
      </c>
    </row>
    <row r="24" customFormat="false" ht="15" hidden="false" customHeight="false" outlineLevel="0" collapsed="false">
      <c r="A24" s="13" t="s">
        <v>263</v>
      </c>
      <c r="B24" s="13" t="s">
        <v>28</v>
      </c>
      <c r="C24" s="13" t="n">
        <v>3</v>
      </c>
      <c r="D24" s="13" t="s">
        <v>248</v>
      </c>
      <c r="E24" s="13" t="s">
        <v>249</v>
      </c>
      <c r="F24" s="13" t="s">
        <v>250</v>
      </c>
      <c r="G24" s="13" t="s">
        <v>252</v>
      </c>
      <c r="H24" s="13" t="s">
        <v>254</v>
      </c>
      <c r="I24" s="13" t="s">
        <v>256</v>
      </c>
      <c r="J24" s="13" t="s">
        <v>258</v>
      </c>
      <c r="K24" s="13" t="s">
        <v>259</v>
      </c>
      <c r="L24" s="13" t="s">
        <v>259</v>
      </c>
      <c r="M24" s="13" t="s">
        <v>259</v>
      </c>
      <c r="N24" s="13" t="s">
        <v>259</v>
      </c>
      <c r="O24" s="13" t="s">
        <v>259</v>
      </c>
      <c r="P24" s="27" t="n">
        <f aca="false">WORKDAY.INTL(DATE(2026,10,5),6,11)</f>
        <v>46307</v>
      </c>
    </row>
    <row r="25" customFormat="false" ht="15" hidden="false" customHeight="false" outlineLevel="0" collapsed="false">
      <c r="A25" s="13" t="s">
        <v>264</v>
      </c>
      <c r="B25" s="13" t="s">
        <v>25</v>
      </c>
      <c r="C25" s="13" t="n">
        <v>2</v>
      </c>
      <c r="D25" s="13" t="s">
        <v>246</v>
      </c>
      <c r="E25" s="13" t="s">
        <v>248</v>
      </c>
      <c r="F25" s="13" t="s">
        <v>249</v>
      </c>
      <c r="G25" s="13" t="s">
        <v>250</v>
      </c>
      <c r="H25" s="13" t="s">
        <v>252</v>
      </c>
      <c r="I25" s="13" t="s">
        <v>254</v>
      </c>
      <c r="J25" s="13" t="s">
        <v>256</v>
      </c>
      <c r="K25" s="13" t="s">
        <v>258</v>
      </c>
      <c r="L25" s="13" t="s">
        <v>259</v>
      </c>
      <c r="M25" s="13" t="s">
        <v>259</v>
      </c>
      <c r="N25" s="13" t="s">
        <v>259</v>
      </c>
      <c r="O25" s="13" t="s">
        <v>259</v>
      </c>
      <c r="P25" s="27" t="n">
        <f aca="false">WORKDAY.INTL(DATE(2026,10,5),7,11)</f>
        <v>46308</v>
      </c>
    </row>
    <row r="26" customFormat="false" ht="15" hidden="false" customHeight="false" outlineLevel="0" collapsed="false">
      <c r="A26" s="13" t="s">
        <v>265</v>
      </c>
      <c r="B26" s="13" t="s">
        <v>25</v>
      </c>
      <c r="C26" s="13" t="n">
        <v>4</v>
      </c>
      <c r="D26" s="13" t="s">
        <v>246</v>
      </c>
      <c r="E26" s="13" t="s">
        <v>248</v>
      </c>
      <c r="F26" s="13" t="s">
        <v>249</v>
      </c>
      <c r="G26" s="13" t="s">
        <v>250</v>
      </c>
      <c r="H26" s="13" t="s">
        <v>252</v>
      </c>
      <c r="I26" s="13" t="s">
        <v>254</v>
      </c>
      <c r="J26" s="13" t="s">
        <v>256</v>
      </c>
      <c r="K26" s="13" t="s">
        <v>258</v>
      </c>
      <c r="L26" s="13" t="s">
        <v>259</v>
      </c>
      <c r="M26" s="13" t="s">
        <v>259</v>
      </c>
      <c r="N26" s="13" t="s">
        <v>259</v>
      </c>
      <c r="O26" s="13" t="s">
        <v>259</v>
      </c>
      <c r="P26" s="27" t="n">
        <f aca="false">WORKDAY.INTL(DATE(2026,10,5),7,11)</f>
        <v>46308</v>
      </c>
    </row>
    <row r="27" customFormat="false" ht="15" hidden="false" customHeight="false" outlineLevel="0" collapsed="false">
      <c r="A27" s="13" t="s">
        <v>260</v>
      </c>
      <c r="B27" s="13" t="s">
        <v>25</v>
      </c>
      <c r="C27" s="13" t="n">
        <v>9</v>
      </c>
      <c r="D27" s="13" t="s">
        <v>254</v>
      </c>
      <c r="E27" s="13" t="s">
        <v>256</v>
      </c>
      <c r="F27" s="13" t="s">
        <v>258</v>
      </c>
      <c r="G27" s="13" t="s">
        <v>259</v>
      </c>
      <c r="H27" s="13" t="s">
        <v>259</v>
      </c>
      <c r="I27" s="13" t="s">
        <v>259</v>
      </c>
      <c r="J27" s="13" t="s">
        <v>259</v>
      </c>
      <c r="K27" s="13" t="s">
        <v>259</v>
      </c>
      <c r="L27" s="13" t="s">
        <v>259</v>
      </c>
      <c r="M27" s="13" t="s">
        <v>259</v>
      </c>
      <c r="N27" s="13" t="s">
        <v>259</v>
      </c>
      <c r="O27" s="13" t="s">
        <v>259</v>
      </c>
      <c r="P27" s="27" t="n">
        <f aca="false">WORKDAY.INTL(DATE(2026,10,5),2,11)</f>
        <v>46302</v>
      </c>
    </row>
    <row r="28" customFormat="false" ht="15" hidden="false" customHeight="false" outlineLevel="0" collapsed="false">
      <c r="A28" s="13" t="s">
        <v>261</v>
      </c>
      <c r="B28" s="13" t="s">
        <v>25</v>
      </c>
      <c r="C28" s="13" t="n">
        <v>3</v>
      </c>
      <c r="D28" s="13" t="s">
        <v>246</v>
      </c>
      <c r="E28" s="13" t="s">
        <v>248</v>
      </c>
      <c r="F28" s="13" t="s">
        <v>249</v>
      </c>
      <c r="G28" s="13" t="s">
        <v>250</v>
      </c>
      <c r="H28" s="13" t="s">
        <v>252</v>
      </c>
      <c r="I28" s="13" t="s">
        <v>254</v>
      </c>
      <c r="J28" s="13" t="s">
        <v>256</v>
      </c>
      <c r="K28" s="13" t="s">
        <v>258</v>
      </c>
      <c r="L28" s="13" t="s">
        <v>259</v>
      </c>
      <c r="M28" s="13" t="s">
        <v>259</v>
      </c>
      <c r="N28" s="13" t="s">
        <v>259</v>
      </c>
      <c r="O28" s="13" t="s">
        <v>259</v>
      </c>
      <c r="P28" s="27" t="n">
        <f aca="false">WORKDAY.INTL(DATE(2026,10,5),7,11)</f>
        <v>46308</v>
      </c>
    </row>
    <row r="29" customFormat="false" ht="15" hidden="false" customHeight="false" outlineLevel="0" collapsed="false">
      <c r="A29" s="13" t="s">
        <v>262</v>
      </c>
      <c r="B29" s="13" t="s">
        <v>25</v>
      </c>
      <c r="C29" s="13" t="n">
        <v>1</v>
      </c>
      <c r="D29" s="13" t="s">
        <v>246</v>
      </c>
      <c r="E29" s="13" t="s">
        <v>248</v>
      </c>
      <c r="F29" s="13" t="s">
        <v>249</v>
      </c>
      <c r="G29" s="13" t="s">
        <v>250</v>
      </c>
      <c r="H29" s="13" t="s">
        <v>252</v>
      </c>
      <c r="I29" s="13" t="s">
        <v>254</v>
      </c>
      <c r="J29" s="13" t="s">
        <v>256</v>
      </c>
      <c r="K29" s="13" t="s">
        <v>258</v>
      </c>
      <c r="L29" s="13" t="s">
        <v>259</v>
      </c>
      <c r="M29" s="13" t="s">
        <v>259</v>
      </c>
      <c r="N29" s="13" t="s">
        <v>259</v>
      </c>
      <c r="O29" s="13" t="s">
        <v>259</v>
      </c>
      <c r="P29" s="27" t="n">
        <f aca="false">WORKDAY.INTL(DATE(2026,10,5),7,11)</f>
        <v>46308</v>
      </c>
    </row>
    <row r="30" customFormat="false" ht="15" hidden="false" customHeight="false" outlineLevel="0" collapsed="false">
      <c r="A30" s="13" t="s">
        <v>265</v>
      </c>
      <c r="B30" s="13" t="s">
        <v>68</v>
      </c>
      <c r="C30" s="13" t="n">
        <v>1</v>
      </c>
      <c r="D30" s="13" t="s">
        <v>246</v>
      </c>
      <c r="E30" s="13" t="s">
        <v>248</v>
      </c>
      <c r="F30" s="13" t="s">
        <v>249</v>
      </c>
      <c r="G30" s="13" t="s">
        <v>250</v>
      </c>
      <c r="H30" s="13" t="s">
        <v>252</v>
      </c>
      <c r="I30" s="13" t="s">
        <v>254</v>
      </c>
      <c r="J30" s="13" t="s">
        <v>256</v>
      </c>
      <c r="K30" s="13" t="s">
        <v>258</v>
      </c>
      <c r="L30" s="13" t="s">
        <v>259</v>
      </c>
      <c r="M30" s="13" t="s">
        <v>259</v>
      </c>
      <c r="N30" s="13" t="s">
        <v>259</v>
      </c>
      <c r="O30" s="13" t="s">
        <v>259</v>
      </c>
      <c r="P30" s="27" t="n">
        <f aca="false">WORKDAY.INTL(DATE(2026,10,5),7,11)</f>
        <v>46308</v>
      </c>
    </row>
    <row r="31" customFormat="false" ht="15" hidden="false" customHeight="false" outlineLevel="0" collapsed="false">
      <c r="A31" s="13" t="s">
        <v>260</v>
      </c>
      <c r="B31" s="13" t="s">
        <v>68</v>
      </c>
      <c r="C31" s="13" t="n">
        <v>1</v>
      </c>
      <c r="D31" s="13" t="s">
        <v>246</v>
      </c>
      <c r="E31" s="13" t="s">
        <v>248</v>
      </c>
      <c r="F31" s="13" t="s">
        <v>249</v>
      </c>
      <c r="G31" s="13" t="s">
        <v>250</v>
      </c>
      <c r="H31" s="13" t="s">
        <v>252</v>
      </c>
      <c r="I31" s="13" t="s">
        <v>254</v>
      </c>
      <c r="J31" s="13" t="s">
        <v>256</v>
      </c>
      <c r="K31" s="13" t="s">
        <v>258</v>
      </c>
      <c r="L31" s="13" t="s">
        <v>259</v>
      </c>
      <c r="M31" s="13" t="s">
        <v>259</v>
      </c>
      <c r="N31" s="13" t="s">
        <v>259</v>
      </c>
      <c r="O31" s="13" t="s">
        <v>259</v>
      </c>
      <c r="P31" s="27" t="n">
        <f aca="false">WORKDAY.INTL(DATE(2026,10,5),7,11)</f>
        <v>46308</v>
      </c>
    </row>
    <row r="32" customFormat="false" ht="15" hidden="false" customHeight="false" outlineLevel="0" collapsed="false">
      <c r="A32" s="13" t="s">
        <v>261</v>
      </c>
      <c r="B32" s="13" t="s">
        <v>68</v>
      </c>
      <c r="C32" s="13" t="n">
        <v>2</v>
      </c>
      <c r="D32" s="13" t="s">
        <v>246</v>
      </c>
      <c r="E32" s="13" t="s">
        <v>248</v>
      </c>
      <c r="F32" s="13" t="s">
        <v>249</v>
      </c>
      <c r="G32" s="13" t="s">
        <v>250</v>
      </c>
      <c r="H32" s="13" t="s">
        <v>252</v>
      </c>
      <c r="I32" s="13" t="s">
        <v>254</v>
      </c>
      <c r="J32" s="13" t="s">
        <v>256</v>
      </c>
      <c r="K32" s="13" t="s">
        <v>258</v>
      </c>
      <c r="L32" s="13" t="s">
        <v>259</v>
      </c>
      <c r="M32" s="13" t="s">
        <v>259</v>
      </c>
      <c r="N32" s="13" t="s">
        <v>259</v>
      </c>
      <c r="O32" s="13" t="s">
        <v>259</v>
      </c>
      <c r="P32" s="27" t="n">
        <f aca="false">WORKDAY.INTL(DATE(2026,10,5),7,11)</f>
        <v>46308</v>
      </c>
    </row>
    <row r="33" customFormat="false" ht="15" hidden="false" customHeight="false" outlineLevel="0" collapsed="false">
      <c r="A33" s="13" t="s">
        <v>266</v>
      </c>
      <c r="B33" s="13" t="s">
        <v>68</v>
      </c>
      <c r="C33" s="13" t="n">
        <v>1</v>
      </c>
      <c r="D33" s="13" t="s">
        <v>246</v>
      </c>
      <c r="E33" s="13" t="s">
        <v>248</v>
      </c>
      <c r="F33" s="13" t="s">
        <v>249</v>
      </c>
      <c r="G33" s="13" t="s">
        <v>250</v>
      </c>
      <c r="H33" s="13" t="s">
        <v>252</v>
      </c>
      <c r="I33" s="13" t="s">
        <v>254</v>
      </c>
      <c r="J33" s="13" t="s">
        <v>256</v>
      </c>
      <c r="K33" s="13" t="s">
        <v>258</v>
      </c>
      <c r="L33" s="13" t="s">
        <v>259</v>
      </c>
      <c r="M33" s="13" t="s">
        <v>259</v>
      </c>
      <c r="N33" s="13" t="s">
        <v>259</v>
      </c>
      <c r="O33" s="13" t="s">
        <v>259</v>
      </c>
      <c r="P33" s="27" t="n">
        <f aca="false">WORKDAY.INTL(DATE(2026,10,5),7,11)</f>
        <v>46308</v>
      </c>
    </row>
    <row r="34" customFormat="false" ht="15" hidden="false" customHeight="false" outlineLevel="0" collapsed="false">
      <c r="A34" s="13" t="s">
        <v>260</v>
      </c>
      <c r="B34" s="13" t="s">
        <v>72</v>
      </c>
      <c r="C34" s="13" t="n">
        <v>3</v>
      </c>
      <c r="D34" s="13" t="s">
        <v>244</v>
      </c>
      <c r="E34" s="13" t="s">
        <v>246</v>
      </c>
      <c r="F34" s="13" t="s">
        <v>248</v>
      </c>
      <c r="G34" s="13" t="s">
        <v>249</v>
      </c>
      <c r="H34" s="13" t="s">
        <v>250</v>
      </c>
      <c r="I34" s="13" t="s">
        <v>252</v>
      </c>
      <c r="J34" s="13" t="s">
        <v>254</v>
      </c>
      <c r="K34" s="13" t="s">
        <v>256</v>
      </c>
      <c r="L34" s="13" t="s">
        <v>258</v>
      </c>
      <c r="M34" s="13" t="s">
        <v>259</v>
      </c>
      <c r="N34" s="13" t="s">
        <v>259</v>
      </c>
      <c r="O34" s="13" t="s">
        <v>259</v>
      </c>
      <c r="P34" s="27" t="n">
        <f aca="false">WORKDAY.INTL(DATE(2026,10,5),8,11)</f>
        <v>46309</v>
      </c>
    </row>
    <row r="35" customFormat="false" ht="15" hidden="false" customHeight="false" outlineLevel="0" collapsed="false">
      <c r="A35" s="13" t="s">
        <v>262</v>
      </c>
      <c r="B35" s="13" t="s">
        <v>72</v>
      </c>
      <c r="C35" s="13" t="n">
        <v>1</v>
      </c>
      <c r="D35" s="13" t="s">
        <v>244</v>
      </c>
      <c r="E35" s="13" t="s">
        <v>246</v>
      </c>
      <c r="F35" s="13" t="s">
        <v>248</v>
      </c>
      <c r="G35" s="13" t="s">
        <v>249</v>
      </c>
      <c r="H35" s="13" t="s">
        <v>250</v>
      </c>
      <c r="I35" s="13" t="s">
        <v>252</v>
      </c>
      <c r="J35" s="13" t="s">
        <v>254</v>
      </c>
      <c r="K35" s="13" t="s">
        <v>256</v>
      </c>
      <c r="L35" s="13" t="s">
        <v>258</v>
      </c>
      <c r="M35" s="13" t="s">
        <v>259</v>
      </c>
      <c r="N35" s="13" t="s">
        <v>259</v>
      </c>
      <c r="O35" s="13" t="s">
        <v>259</v>
      </c>
      <c r="P35" s="27" t="n">
        <f aca="false">WORKDAY.INTL(DATE(2026,10,5),8,11)</f>
        <v>46309</v>
      </c>
    </row>
    <row r="37" customFormat="false" ht="15" hidden="false" customHeight="false" outlineLevel="0" collapsed="false">
      <c r="A37" s="20" t="s">
        <v>267</v>
      </c>
    </row>
    <row r="38" customFormat="false" ht="15" hidden="false" customHeight="false" outlineLevel="0" collapsed="false">
      <c r="A38" s="20" t="s">
        <v>268</v>
      </c>
    </row>
    <row r="39" customFormat="false" ht="15" hidden="false" customHeight="false" outlineLevel="0" collapsed="false">
      <c r="A39" s="20" t="s">
        <v>269</v>
      </c>
    </row>
    <row r="40" customFormat="false" ht="15" hidden="false" customHeight="false" outlineLevel="0" collapsed="false">
      <c r="A40" s="20" t="s">
        <v>270</v>
      </c>
    </row>
    <row r="41" customFormat="false" ht="15" hidden="false" customHeight="false" outlineLevel="0" collapsed="false">
      <c r="A41" s="20" t="s">
        <v>271</v>
      </c>
    </row>
    <row r="42" customFormat="false" ht="15" hidden="false" customHeight="false" outlineLevel="0" collapsed="false">
      <c r="A42" s="20" t="s">
        <v>272</v>
      </c>
    </row>
    <row r="43" customFormat="false" ht="15" hidden="false" customHeight="false" outlineLevel="0" collapsed="false">
      <c r="A43" s="20" t="s">
        <v>273</v>
      </c>
    </row>
    <row r="44" customFormat="false" ht="15" hidden="false" customHeight="false" outlineLevel="0" collapsed="false">
      <c r="A44" s="20" t="s">
        <v>274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6"/>
    <col collapsed="false" customWidth="true" hidden="false" outlineLevel="0" max="16" min="4" style="0" width="11"/>
  </cols>
  <sheetData>
    <row r="1" customFormat="false" ht="17.35" hidden="false" customHeight="false" outlineLevel="0" collapsed="false">
      <c r="A1" s="21" t="s">
        <v>275</v>
      </c>
    </row>
    <row r="3" customFormat="false" ht="31.5" hidden="false" customHeight="true" outlineLevel="0" collapsed="false">
      <c r="A3" s="2" t="s">
        <v>221</v>
      </c>
      <c r="B3" s="2" t="s">
        <v>222</v>
      </c>
      <c r="C3" s="2" t="s">
        <v>16</v>
      </c>
      <c r="D3" s="2" t="s">
        <v>276</v>
      </c>
      <c r="E3" s="2" t="s">
        <v>238</v>
      </c>
      <c r="F3" s="2" t="s">
        <v>240</v>
      </c>
      <c r="G3" s="2" t="s">
        <v>242</v>
      </c>
      <c r="H3" s="2" t="s">
        <v>244</v>
      </c>
      <c r="I3" s="2" t="s">
        <v>246</v>
      </c>
      <c r="J3" s="2" t="s">
        <v>248</v>
      </c>
      <c r="K3" s="2" t="s">
        <v>249</v>
      </c>
      <c r="L3" s="2" t="s">
        <v>250</v>
      </c>
      <c r="M3" s="2" t="s">
        <v>252</v>
      </c>
      <c r="N3" s="2" t="s">
        <v>254</v>
      </c>
      <c r="O3" s="2" t="s">
        <v>256</v>
      </c>
      <c r="P3" s="2" t="s">
        <v>258</v>
      </c>
    </row>
    <row r="4" customFormat="false" ht="15" hidden="false" customHeight="false" outlineLevel="0" collapsed="false">
      <c r="A4" s="3" t="s">
        <v>255</v>
      </c>
      <c r="B4" s="3" t="s">
        <v>28</v>
      </c>
      <c r="C4" s="3" t="n">
        <v>6</v>
      </c>
      <c r="D4" s="28" t="n">
        <f aca="false">DATE(2026,10,5)</f>
        <v>46300</v>
      </c>
      <c r="E4" s="28" t="n">
        <f aca="false">WORKDAY.INTL(D4,1,11)</f>
        <v>46301</v>
      </c>
      <c r="F4" s="28" t="n">
        <f aca="false">WORKDAY.INTL(E4,1,11)</f>
        <v>46302</v>
      </c>
      <c r="G4" s="28" t="n">
        <f aca="false">WORKDAY.INTL(F4,1,11)</f>
        <v>46303</v>
      </c>
      <c r="H4" s="28" t="n">
        <f aca="false">WORKDAY.INTL(G4,1,11)</f>
        <v>46304</v>
      </c>
      <c r="I4" s="28" t="n">
        <f aca="false">WORKDAY.INTL(H4,1,11)</f>
        <v>46305</v>
      </c>
      <c r="J4" s="28" t="n">
        <f aca="false">WORKDAY.INTL(I4,1,11)</f>
        <v>46307</v>
      </c>
      <c r="K4" s="28" t="n">
        <f aca="false">WORKDAY.INTL(J4,1,11)</f>
        <v>46308</v>
      </c>
      <c r="L4" s="28" t="n">
        <f aca="false">WORKDAY.INTL(K4,1,11)</f>
        <v>46309</v>
      </c>
      <c r="M4" s="28" t="n">
        <f aca="false">WORKDAY.INTL(L4,1,11)</f>
        <v>46310</v>
      </c>
      <c r="N4" s="28" t="n">
        <f aca="false">WORKDAY.INTL(M4,1,11)</f>
        <v>46311</v>
      </c>
      <c r="O4" s="28" t="n">
        <f aca="false">WORKDAY.INTL(N4,1,11)</f>
        <v>46312</v>
      </c>
      <c r="P4" s="28" t="n">
        <f aca="false">WORKDAY.INTL(O4,1,11)</f>
        <v>46314</v>
      </c>
    </row>
    <row r="5" customFormat="false" ht="15" hidden="false" customHeight="false" outlineLevel="0" collapsed="false">
      <c r="A5" s="3" t="s">
        <v>253</v>
      </c>
      <c r="B5" s="3" t="s">
        <v>28</v>
      </c>
      <c r="C5" s="3" t="n">
        <v>7</v>
      </c>
      <c r="D5" s="28" t="n">
        <f aca="false">DATE(2026,10,6)</f>
        <v>46301</v>
      </c>
      <c r="E5" s="28" t="n">
        <f aca="false">WORKDAY.INTL(D5,1,11)</f>
        <v>46302</v>
      </c>
      <c r="F5" s="28" t="n">
        <f aca="false">WORKDAY.INTL(E5,1,11)</f>
        <v>46303</v>
      </c>
      <c r="G5" s="28" t="n">
        <f aca="false">WORKDAY.INTL(F5,1,11)</f>
        <v>46304</v>
      </c>
      <c r="H5" s="28" t="n">
        <f aca="false">WORKDAY.INTL(G5,1,11)</f>
        <v>46305</v>
      </c>
      <c r="I5" s="28" t="n">
        <f aca="false">WORKDAY.INTL(H5,1,11)</f>
        <v>46307</v>
      </c>
      <c r="J5" s="28" t="n">
        <f aca="false">WORKDAY.INTL(I5,1,11)</f>
        <v>46308</v>
      </c>
      <c r="K5" s="28" t="n">
        <f aca="false">WORKDAY.INTL(J5,1,11)</f>
        <v>46309</v>
      </c>
      <c r="L5" s="28" t="n">
        <f aca="false">WORKDAY.INTL(K5,1,11)</f>
        <v>46310</v>
      </c>
      <c r="M5" s="28" t="n">
        <f aca="false">WORKDAY.INTL(L5,1,11)</f>
        <v>46311</v>
      </c>
      <c r="N5" s="28" t="n">
        <f aca="false">WORKDAY.INTL(M5,1,11)</f>
        <v>46312</v>
      </c>
      <c r="O5" s="28" t="n">
        <f aca="false">WORKDAY.INTL(N5,1,11)</f>
        <v>46314</v>
      </c>
      <c r="P5" s="28" t="n">
        <f aca="false">WORKDAY.INTL(O5,1,11)</f>
        <v>46315</v>
      </c>
    </row>
    <row r="6" customFormat="false" ht="15" hidden="false" customHeight="false" outlineLevel="0" collapsed="false">
      <c r="A6" s="3" t="s">
        <v>253</v>
      </c>
      <c r="B6" s="3" t="s">
        <v>72</v>
      </c>
      <c r="C6" s="3" t="n">
        <v>4</v>
      </c>
      <c r="D6" s="28" t="n">
        <f aca="false">DATE(2026,10,6)</f>
        <v>46301</v>
      </c>
      <c r="E6" s="28" t="n">
        <f aca="false">WORKDAY.INTL(D6,1,11)</f>
        <v>46302</v>
      </c>
      <c r="F6" s="28" t="n">
        <f aca="false">WORKDAY.INTL(E6,1,11)</f>
        <v>46303</v>
      </c>
      <c r="G6" s="28" t="n">
        <f aca="false">WORKDAY.INTL(F6,1,11)</f>
        <v>46304</v>
      </c>
      <c r="H6" s="28" t="n">
        <f aca="false">WORKDAY.INTL(G6,1,11)</f>
        <v>46305</v>
      </c>
      <c r="I6" s="28" t="n">
        <f aca="false">WORKDAY.INTL(H6,1,11)</f>
        <v>46307</v>
      </c>
      <c r="J6" s="28" t="n">
        <f aca="false">WORKDAY.INTL(I6,1,11)</f>
        <v>46308</v>
      </c>
      <c r="K6" s="28" t="n">
        <f aca="false">WORKDAY.INTL(J6,1,11)</f>
        <v>46309</v>
      </c>
      <c r="L6" s="28" t="n">
        <f aca="false">WORKDAY.INTL(K6,1,11)</f>
        <v>46310</v>
      </c>
      <c r="M6" s="28" t="n">
        <f aca="false">WORKDAY.INTL(L6,1,11)</f>
        <v>46311</v>
      </c>
      <c r="N6" s="28" t="n">
        <f aca="false">WORKDAY.INTL(M6,1,11)</f>
        <v>46312</v>
      </c>
      <c r="O6" s="28" t="n">
        <f aca="false">WORKDAY.INTL(N6,1,11)</f>
        <v>46314</v>
      </c>
      <c r="P6" s="28" t="n">
        <f aca="false">WORKDAY.INTL(O6,1,11)</f>
        <v>46315</v>
      </c>
    </row>
    <row r="7" customFormat="false" ht="15" hidden="false" customHeight="false" outlineLevel="0" collapsed="false">
      <c r="A7" s="3" t="s">
        <v>253</v>
      </c>
      <c r="B7" s="3" t="s">
        <v>25</v>
      </c>
      <c r="C7" s="3" t="n">
        <v>3</v>
      </c>
      <c r="D7" s="28" t="n">
        <f aca="false">DATE(2026,10,6)</f>
        <v>46301</v>
      </c>
      <c r="E7" s="28" t="n">
        <f aca="false">WORKDAY.INTL(D7,1,11)</f>
        <v>46302</v>
      </c>
      <c r="F7" s="28" t="n">
        <f aca="false">WORKDAY.INTL(E7,1,11)</f>
        <v>46303</v>
      </c>
      <c r="G7" s="28" t="n">
        <f aca="false">WORKDAY.INTL(F7,1,11)</f>
        <v>46304</v>
      </c>
      <c r="H7" s="28" t="n">
        <f aca="false">WORKDAY.INTL(G7,1,11)</f>
        <v>46305</v>
      </c>
      <c r="I7" s="28" t="n">
        <f aca="false">WORKDAY.INTL(H7,1,11)</f>
        <v>46307</v>
      </c>
      <c r="J7" s="28" t="n">
        <f aca="false">WORKDAY.INTL(I7,1,11)</f>
        <v>46308</v>
      </c>
      <c r="K7" s="28" t="n">
        <f aca="false">WORKDAY.INTL(J7,1,11)</f>
        <v>46309</v>
      </c>
      <c r="L7" s="28" t="n">
        <f aca="false">WORKDAY.INTL(K7,1,11)</f>
        <v>46310</v>
      </c>
      <c r="M7" s="28" t="n">
        <f aca="false">WORKDAY.INTL(L7,1,11)</f>
        <v>46311</v>
      </c>
      <c r="N7" s="28" t="n">
        <f aca="false">WORKDAY.INTL(M7,1,11)</f>
        <v>46312</v>
      </c>
      <c r="O7" s="28" t="n">
        <f aca="false">WORKDAY.INTL(N7,1,11)</f>
        <v>46314</v>
      </c>
      <c r="P7" s="28" t="n">
        <f aca="false">WORKDAY.INTL(O7,1,11)</f>
        <v>46315</v>
      </c>
    </row>
    <row r="8" customFormat="false" ht="15" hidden="false" customHeight="false" outlineLevel="0" collapsed="false">
      <c r="A8" s="3" t="s">
        <v>251</v>
      </c>
      <c r="B8" s="3" t="s">
        <v>28</v>
      </c>
      <c r="C8" s="3" t="n">
        <v>6</v>
      </c>
      <c r="D8" s="28" t="n">
        <f aca="false">DATE(2026,10,7)</f>
        <v>46302</v>
      </c>
      <c r="E8" s="28" t="n">
        <f aca="false">WORKDAY.INTL(D8,1,11)</f>
        <v>46303</v>
      </c>
      <c r="F8" s="28" t="n">
        <f aca="false">WORKDAY.INTL(E8,1,11)</f>
        <v>46304</v>
      </c>
      <c r="G8" s="28" t="n">
        <f aca="false">WORKDAY.INTL(F8,1,11)</f>
        <v>46305</v>
      </c>
      <c r="H8" s="28" t="n">
        <f aca="false">WORKDAY.INTL(G8,1,11)</f>
        <v>46307</v>
      </c>
      <c r="I8" s="28" t="n">
        <f aca="false">WORKDAY.INTL(H8,1,11)</f>
        <v>46308</v>
      </c>
      <c r="J8" s="28" t="n">
        <f aca="false">WORKDAY.INTL(I8,1,11)</f>
        <v>46309</v>
      </c>
      <c r="K8" s="28" t="n">
        <f aca="false">WORKDAY.INTL(J8,1,11)</f>
        <v>46310</v>
      </c>
      <c r="L8" s="28" t="n">
        <f aca="false">WORKDAY.INTL(K8,1,11)</f>
        <v>46311</v>
      </c>
      <c r="M8" s="28" t="n">
        <f aca="false">WORKDAY.INTL(L8,1,11)</f>
        <v>46312</v>
      </c>
      <c r="N8" s="28" t="n">
        <f aca="false">WORKDAY.INTL(M8,1,11)</f>
        <v>46314</v>
      </c>
      <c r="O8" s="28" t="n">
        <f aca="false">WORKDAY.INTL(N8,1,11)</f>
        <v>46315</v>
      </c>
      <c r="P8" s="28" t="n">
        <f aca="false">WORKDAY.INTL(O8,1,11)</f>
        <v>46316</v>
      </c>
    </row>
    <row r="9" customFormat="false" ht="15" hidden="false" customHeight="false" outlineLevel="0" collapsed="false">
      <c r="A9" s="3" t="s">
        <v>251</v>
      </c>
      <c r="B9" s="3" t="s">
        <v>72</v>
      </c>
      <c r="C9" s="3" t="n">
        <v>2</v>
      </c>
      <c r="D9" s="28" t="n">
        <f aca="false">DATE(2026,10,7)</f>
        <v>46302</v>
      </c>
      <c r="E9" s="28" t="n">
        <f aca="false">WORKDAY.INTL(D9,1,11)</f>
        <v>46303</v>
      </c>
      <c r="F9" s="28" t="n">
        <f aca="false">WORKDAY.INTL(E9,1,11)</f>
        <v>46304</v>
      </c>
      <c r="G9" s="28" t="n">
        <f aca="false">WORKDAY.INTL(F9,1,11)</f>
        <v>46305</v>
      </c>
      <c r="H9" s="28" t="n">
        <f aca="false">WORKDAY.INTL(G9,1,11)</f>
        <v>46307</v>
      </c>
      <c r="I9" s="28" t="n">
        <f aca="false">WORKDAY.INTL(H9,1,11)</f>
        <v>46308</v>
      </c>
      <c r="J9" s="28" t="n">
        <f aca="false">WORKDAY.INTL(I9,1,11)</f>
        <v>46309</v>
      </c>
      <c r="K9" s="28" t="n">
        <f aca="false">WORKDAY.INTL(J9,1,11)</f>
        <v>46310</v>
      </c>
      <c r="L9" s="28" t="n">
        <f aca="false">WORKDAY.INTL(K9,1,11)</f>
        <v>46311</v>
      </c>
      <c r="M9" s="28" t="n">
        <f aca="false">WORKDAY.INTL(L9,1,11)</f>
        <v>46312</v>
      </c>
      <c r="N9" s="28" t="n">
        <f aca="false">WORKDAY.INTL(M9,1,11)</f>
        <v>46314</v>
      </c>
      <c r="O9" s="28" t="n">
        <f aca="false">WORKDAY.INTL(N9,1,11)</f>
        <v>46315</v>
      </c>
      <c r="P9" s="28" t="n">
        <f aca="false">WORKDAY.INTL(O9,1,11)</f>
        <v>46316</v>
      </c>
    </row>
    <row r="10" customFormat="false" ht="15" hidden="false" customHeight="false" outlineLevel="0" collapsed="false">
      <c r="A10" s="3" t="s">
        <v>247</v>
      </c>
      <c r="B10" s="3" t="s">
        <v>72</v>
      </c>
      <c r="C10" s="3" t="n">
        <v>1</v>
      </c>
      <c r="D10" s="28" t="n">
        <f aca="false">DATE(2026,10,8)</f>
        <v>46303</v>
      </c>
      <c r="E10" s="28" t="n">
        <f aca="false">WORKDAY.INTL(D10,1,11)</f>
        <v>46304</v>
      </c>
      <c r="F10" s="28" t="n">
        <f aca="false">WORKDAY.INTL(E10,1,11)</f>
        <v>46305</v>
      </c>
      <c r="G10" s="28" t="n">
        <f aca="false">WORKDAY.INTL(F10,1,11)</f>
        <v>46307</v>
      </c>
      <c r="H10" s="28" t="n">
        <f aca="false">WORKDAY.INTL(G10,1,11)</f>
        <v>46308</v>
      </c>
      <c r="I10" s="28" t="n">
        <f aca="false">WORKDAY.INTL(H10,1,11)</f>
        <v>46309</v>
      </c>
      <c r="J10" s="28" t="n">
        <f aca="false">WORKDAY.INTL(I10,1,11)</f>
        <v>46310</v>
      </c>
      <c r="K10" s="28" t="n">
        <f aca="false">WORKDAY.INTL(J10,1,11)</f>
        <v>46311</v>
      </c>
      <c r="L10" s="28" t="n">
        <f aca="false">WORKDAY.INTL(K10,1,11)</f>
        <v>46312</v>
      </c>
      <c r="M10" s="28" t="n">
        <f aca="false">WORKDAY.INTL(L10,1,11)</f>
        <v>46314</v>
      </c>
      <c r="N10" s="28" t="n">
        <f aca="false">WORKDAY.INTL(M10,1,11)</f>
        <v>46315</v>
      </c>
      <c r="O10" s="28" t="n">
        <f aca="false">WORKDAY.INTL(N10,1,11)</f>
        <v>46316</v>
      </c>
      <c r="P10" s="28" t="n">
        <f aca="false">WORKDAY.INTL(O10,1,11)</f>
        <v>46317</v>
      </c>
    </row>
    <row r="11" customFormat="false" ht="15" hidden="false" customHeight="false" outlineLevel="0" collapsed="false">
      <c r="A11" s="3" t="s">
        <v>247</v>
      </c>
      <c r="B11" s="3" t="s">
        <v>25</v>
      </c>
      <c r="C11" s="3" t="n">
        <v>3</v>
      </c>
      <c r="D11" s="28" t="n">
        <f aca="false">DATE(2026,10,8)</f>
        <v>46303</v>
      </c>
      <c r="E11" s="28" t="n">
        <f aca="false">WORKDAY.INTL(D11,1,11)</f>
        <v>46304</v>
      </c>
      <c r="F11" s="28" t="n">
        <f aca="false">WORKDAY.INTL(E11,1,11)</f>
        <v>46305</v>
      </c>
      <c r="G11" s="28" t="n">
        <f aca="false">WORKDAY.INTL(F11,1,11)</f>
        <v>46307</v>
      </c>
      <c r="H11" s="28" t="n">
        <f aca="false">WORKDAY.INTL(G11,1,11)</f>
        <v>46308</v>
      </c>
      <c r="I11" s="28" t="n">
        <f aca="false">WORKDAY.INTL(H11,1,11)</f>
        <v>46309</v>
      </c>
      <c r="J11" s="28" t="n">
        <f aca="false">WORKDAY.INTL(I11,1,11)</f>
        <v>46310</v>
      </c>
      <c r="K11" s="28" t="n">
        <f aca="false">WORKDAY.INTL(J11,1,11)</f>
        <v>46311</v>
      </c>
      <c r="L11" s="28" t="n">
        <f aca="false">WORKDAY.INTL(K11,1,11)</f>
        <v>46312</v>
      </c>
      <c r="M11" s="28" t="n">
        <f aca="false">WORKDAY.INTL(L11,1,11)</f>
        <v>46314</v>
      </c>
      <c r="N11" s="28" t="n">
        <f aca="false">WORKDAY.INTL(M11,1,11)</f>
        <v>46315</v>
      </c>
      <c r="O11" s="28" t="n">
        <f aca="false">WORKDAY.INTL(N11,1,11)</f>
        <v>46316</v>
      </c>
      <c r="P11" s="28" t="n">
        <f aca="false">WORKDAY.INTL(O11,1,11)</f>
        <v>46317</v>
      </c>
    </row>
    <row r="12" customFormat="false" ht="15" hidden="false" customHeight="false" outlineLevel="0" collapsed="false">
      <c r="A12" s="3" t="s">
        <v>245</v>
      </c>
      <c r="B12" s="3" t="s">
        <v>28</v>
      </c>
      <c r="C12" s="3" t="n">
        <v>2</v>
      </c>
      <c r="D12" s="28" t="n">
        <f aca="false">DATE(2026,10,12)</f>
        <v>46307</v>
      </c>
      <c r="E12" s="28" t="n">
        <f aca="false">WORKDAY.INTL(D12,1,11)</f>
        <v>46308</v>
      </c>
      <c r="F12" s="28" t="n">
        <f aca="false">WORKDAY.INTL(E12,1,11)</f>
        <v>46309</v>
      </c>
      <c r="G12" s="28" t="n">
        <f aca="false">WORKDAY.INTL(F12,1,11)</f>
        <v>46310</v>
      </c>
      <c r="H12" s="28" t="n">
        <f aca="false">WORKDAY.INTL(G12,1,11)</f>
        <v>46311</v>
      </c>
      <c r="I12" s="28" t="n">
        <f aca="false">WORKDAY.INTL(H12,1,11)</f>
        <v>46312</v>
      </c>
      <c r="J12" s="28" t="n">
        <f aca="false">WORKDAY.INTL(I12,1,11)</f>
        <v>46314</v>
      </c>
      <c r="K12" s="28" t="n">
        <f aca="false">WORKDAY.INTL(J12,1,11)</f>
        <v>46315</v>
      </c>
      <c r="L12" s="28" t="n">
        <f aca="false">WORKDAY.INTL(K12,1,11)</f>
        <v>46316</v>
      </c>
      <c r="M12" s="28" t="n">
        <f aca="false">WORKDAY.INTL(L12,1,11)</f>
        <v>46317</v>
      </c>
      <c r="N12" s="28" t="n">
        <f aca="false">WORKDAY.INTL(M12,1,11)</f>
        <v>46318</v>
      </c>
      <c r="O12" s="28" t="n">
        <f aca="false">WORKDAY.INTL(N12,1,11)</f>
        <v>46319</v>
      </c>
      <c r="P12" s="28" t="n">
        <f aca="false">WORKDAY.INTL(O12,1,11)</f>
        <v>46321</v>
      </c>
    </row>
    <row r="13" customFormat="false" ht="15" hidden="false" customHeight="false" outlineLevel="0" collapsed="false">
      <c r="A13" s="3" t="s">
        <v>245</v>
      </c>
      <c r="B13" s="3" t="s">
        <v>72</v>
      </c>
      <c r="C13" s="3" t="n">
        <v>1</v>
      </c>
      <c r="D13" s="28" t="n">
        <f aca="false">DATE(2026,10,12)</f>
        <v>46307</v>
      </c>
      <c r="E13" s="28" t="n">
        <f aca="false">WORKDAY.INTL(D13,1,11)</f>
        <v>46308</v>
      </c>
      <c r="F13" s="28" t="n">
        <f aca="false">WORKDAY.INTL(E13,1,11)</f>
        <v>46309</v>
      </c>
      <c r="G13" s="28" t="n">
        <f aca="false">WORKDAY.INTL(F13,1,11)</f>
        <v>46310</v>
      </c>
      <c r="H13" s="28" t="n">
        <f aca="false">WORKDAY.INTL(G13,1,11)</f>
        <v>46311</v>
      </c>
      <c r="I13" s="28" t="n">
        <f aca="false">WORKDAY.INTL(H13,1,11)</f>
        <v>46312</v>
      </c>
      <c r="J13" s="28" t="n">
        <f aca="false">WORKDAY.INTL(I13,1,11)</f>
        <v>46314</v>
      </c>
      <c r="K13" s="28" t="n">
        <f aca="false">WORKDAY.INTL(J13,1,11)</f>
        <v>46315</v>
      </c>
      <c r="L13" s="28" t="n">
        <f aca="false">WORKDAY.INTL(K13,1,11)</f>
        <v>46316</v>
      </c>
      <c r="M13" s="28" t="n">
        <f aca="false">WORKDAY.INTL(L13,1,11)</f>
        <v>46317</v>
      </c>
      <c r="N13" s="28" t="n">
        <f aca="false">WORKDAY.INTL(M13,1,11)</f>
        <v>46318</v>
      </c>
      <c r="O13" s="28" t="n">
        <f aca="false">WORKDAY.INTL(N13,1,11)</f>
        <v>46319</v>
      </c>
      <c r="P13" s="28" t="n">
        <f aca="false">WORKDAY.INTL(O13,1,11)</f>
        <v>46321</v>
      </c>
    </row>
    <row r="14" customFormat="false" ht="15" hidden="false" customHeight="false" outlineLevel="0" collapsed="false">
      <c r="A14" s="3" t="s">
        <v>243</v>
      </c>
      <c r="B14" s="3" t="s">
        <v>28</v>
      </c>
      <c r="C14" s="3" t="n">
        <v>2</v>
      </c>
      <c r="D14" s="28" t="n">
        <f aca="false">DATE(2026,10,13)</f>
        <v>46308</v>
      </c>
      <c r="E14" s="28" t="n">
        <f aca="false">WORKDAY.INTL(D14,1,11)</f>
        <v>46309</v>
      </c>
      <c r="F14" s="28" t="n">
        <f aca="false">WORKDAY.INTL(E14,1,11)</f>
        <v>46310</v>
      </c>
      <c r="G14" s="28" t="n">
        <f aca="false">WORKDAY.INTL(F14,1,11)</f>
        <v>46311</v>
      </c>
      <c r="H14" s="28" t="n">
        <f aca="false">WORKDAY.INTL(G14,1,11)</f>
        <v>46312</v>
      </c>
      <c r="I14" s="28" t="n">
        <f aca="false">WORKDAY.INTL(H14,1,11)</f>
        <v>46314</v>
      </c>
      <c r="J14" s="28" t="n">
        <f aca="false">WORKDAY.INTL(I14,1,11)</f>
        <v>46315</v>
      </c>
      <c r="K14" s="28" t="n">
        <f aca="false">WORKDAY.INTL(J14,1,11)</f>
        <v>46316</v>
      </c>
      <c r="L14" s="28" t="n">
        <f aca="false">WORKDAY.INTL(K14,1,11)</f>
        <v>46317</v>
      </c>
      <c r="M14" s="28" t="n">
        <f aca="false">WORKDAY.INTL(L14,1,11)</f>
        <v>46318</v>
      </c>
      <c r="N14" s="28" t="n">
        <f aca="false">WORKDAY.INTL(M14,1,11)</f>
        <v>46319</v>
      </c>
      <c r="O14" s="28" t="n">
        <f aca="false">WORKDAY.INTL(N14,1,11)</f>
        <v>46321</v>
      </c>
      <c r="P14" s="28" t="n">
        <f aca="false">WORKDAY.INTL(O14,1,11)</f>
        <v>46322</v>
      </c>
    </row>
    <row r="15" customFormat="false" ht="15" hidden="false" customHeight="false" outlineLevel="0" collapsed="false">
      <c r="A15" s="3" t="s">
        <v>243</v>
      </c>
      <c r="B15" s="3" t="s">
        <v>72</v>
      </c>
      <c r="C15" s="3" t="n">
        <v>4</v>
      </c>
      <c r="D15" s="28" t="n">
        <f aca="false">DATE(2026,10,13)</f>
        <v>46308</v>
      </c>
      <c r="E15" s="28" t="n">
        <f aca="false">WORKDAY.INTL(D15,1,11)</f>
        <v>46309</v>
      </c>
      <c r="F15" s="28" t="n">
        <f aca="false">WORKDAY.INTL(E15,1,11)</f>
        <v>46310</v>
      </c>
      <c r="G15" s="28" t="n">
        <f aca="false">WORKDAY.INTL(F15,1,11)</f>
        <v>46311</v>
      </c>
      <c r="H15" s="28" t="n">
        <f aca="false">WORKDAY.INTL(G15,1,11)</f>
        <v>46312</v>
      </c>
      <c r="I15" s="28" t="n">
        <f aca="false">WORKDAY.INTL(H15,1,11)</f>
        <v>46314</v>
      </c>
      <c r="J15" s="28" t="n">
        <f aca="false">WORKDAY.INTL(I15,1,11)</f>
        <v>46315</v>
      </c>
      <c r="K15" s="28" t="n">
        <f aca="false">WORKDAY.INTL(J15,1,11)</f>
        <v>46316</v>
      </c>
      <c r="L15" s="28" t="n">
        <f aca="false">WORKDAY.INTL(K15,1,11)</f>
        <v>46317</v>
      </c>
      <c r="M15" s="28" t="n">
        <f aca="false">WORKDAY.INTL(L15,1,11)</f>
        <v>46318</v>
      </c>
      <c r="N15" s="28" t="n">
        <f aca="false">WORKDAY.INTL(M15,1,11)</f>
        <v>46319</v>
      </c>
      <c r="O15" s="28" t="n">
        <f aca="false">WORKDAY.INTL(N15,1,11)</f>
        <v>46321</v>
      </c>
      <c r="P15" s="28" t="n">
        <f aca="false">WORKDAY.INTL(O15,1,11)</f>
        <v>46322</v>
      </c>
    </row>
    <row r="16" customFormat="false" ht="15" hidden="false" customHeight="false" outlineLevel="0" collapsed="false">
      <c r="A16" s="3" t="s">
        <v>243</v>
      </c>
      <c r="B16" s="3" t="s">
        <v>25</v>
      </c>
      <c r="C16" s="3" t="n">
        <v>1</v>
      </c>
      <c r="D16" s="28" t="n">
        <f aca="false">DATE(2026,10,13)</f>
        <v>46308</v>
      </c>
      <c r="E16" s="28" t="n">
        <f aca="false">WORKDAY.INTL(D16,1,11)</f>
        <v>46309</v>
      </c>
      <c r="F16" s="28" t="n">
        <f aca="false">WORKDAY.INTL(E16,1,11)</f>
        <v>46310</v>
      </c>
      <c r="G16" s="28" t="n">
        <f aca="false">WORKDAY.INTL(F16,1,11)</f>
        <v>46311</v>
      </c>
      <c r="H16" s="28" t="n">
        <f aca="false">WORKDAY.INTL(G16,1,11)</f>
        <v>46312</v>
      </c>
      <c r="I16" s="28" t="n">
        <f aca="false">WORKDAY.INTL(H16,1,11)</f>
        <v>46314</v>
      </c>
      <c r="J16" s="28" t="n">
        <f aca="false">WORKDAY.INTL(I16,1,11)</f>
        <v>46315</v>
      </c>
      <c r="K16" s="28" t="n">
        <f aca="false">WORKDAY.INTL(J16,1,11)</f>
        <v>46316</v>
      </c>
      <c r="L16" s="28" t="n">
        <f aca="false">WORKDAY.INTL(K16,1,11)</f>
        <v>46317</v>
      </c>
      <c r="M16" s="28" t="n">
        <f aca="false">WORKDAY.INTL(L16,1,11)</f>
        <v>46318</v>
      </c>
      <c r="N16" s="28" t="n">
        <f aca="false">WORKDAY.INTL(M16,1,11)</f>
        <v>46319</v>
      </c>
      <c r="O16" s="28" t="n">
        <f aca="false">WORKDAY.INTL(N16,1,11)</f>
        <v>46321</v>
      </c>
      <c r="P16" s="28" t="n">
        <f aca="false">WORKDAY.INTL(O16,1,11)</f>
        <v>46322</v>
      </c>
    </row>
    <row r="17" customFormat="false" ht="15" hidden="false" customHeight="false" outlineLevel="0" collapsed="false">
      <c r="A17" s="3" t="s">
        <v>241</v>
      </c>
      <c r="B17" s="3" t="s">
        <v>28</v>
      </c>
      <c r="C17" s="3" t="n">
        <v>1</v>
      </c>
      <c r="D17" s="28" t="n">
        <f aca="false">DATE(2026,10,14)</f>
        <v>46309</v>
      </c>
      <c r="E17" s="28" t="n">
        <f aca="false">WORKDAY.INTL(D17,1,11)</f>
        <v>46310</v>
      </c>
      <c r="F17" s="28" t="n">
        <f aca="false">WORKDAY.INTL(E17,1,11)</f>
        <v>46311</v>
      </c>
      <c r="G17" s="28" t="n">
        <f aca="false">WORKDAY.INTL(F17,1,11)</f>
        <v>46312</v>
      </c>
      <c r="H17" s="28" t="n">
        <f aca="false">WORKDAY.INTL(G17,1,11)</f>
        <v>46314</v>
      </c>
      <c r="I17" s="28" t="n">
        <f aca="false">WORKDAY.INTL(H17,1,11)</f>
        <v>46315</v>
      </c>
      <c r="J17" s="28" t="n">
        <f aca="false">WORKDAY.INTL(I17,1,11)</f>
        <v>46316</v>
      </c>
      <c r="K17" s="28" t="n">
        <f aca="false">WORKDAY.INTL(J17,1,11)</f>
        <v>46317</v>
      </c>
      <c r="L17" s="28" t="n">
        <f aca="false">WORKDAY.INTL(K17,1,11)</f>
        <v>46318</v>
      </c>
      <c r="M17" s="28" t="n">
        <f aca="false">WORKDAY.INTL(L17,1,11)</f>
        <v>46319</v>
      </c>
      <c r="N17" s="28" t="n">
        <f aca="false">WORKDAY.INTL(M17,1,11)</f>
        <v>46321</v>
      </c>
      <c r="O17" s="28" t="n">
        <f aca="false">WORKDAY.INTL(N17,1,11)</f>
        <v>46322</v>
      </c>
      <c r="P17" s="28" t="n">
        <f aca="false">WORKDAY.INTL(O17,1,11)</f>
        <v>46323</v>
      </c>
    </row>
    <row r="18" customFormat="false" ht="15" hidden="false" customHeight="false" outlineLevel="0" collapsed="false">
      <c r="A18" s="3" t="s">
        <v>239</v>
      </c>
      <c r="B18" s="3" t="s">
        <v>28</v>
      </c>
      <c r="C18" s="3" t="n">
        <v>4</v>
      </c>
      <c r="D18" s="28" t="n">
        <f aca="false">DATE(2026,10,15)</f>
        <v>46310</v>
      </c>
      <c r="E18" s="28" t="n">
        <f aca="false">WORKDAY.INTL(D18,1,11)</f>
        <v>46311</v>
      </c>
      <c r="F18" s="28" t="n">
        <f aca="false">WORKDAY.INTL(E18,1,11)</f>
        <v>46312</v>
      </c>
      <c r="G18" s="28" t="n">
        <f aca="false">WORKDAY.INTL(F18,1,11)</f>
        <v>46314</v>
      </c>
      <c r="H18" s="28" t="n">
        <f aca="false">WORKDAY.INTL(G18,1,11)</f>
        <v>46315</v>
      </c>
      <c r="I18" s="28" t="n">
        <f aca="false">WORKDAY.INTL(H18,1,11)</f>
        <v>46316</v>
      </c>
      <c r="J18" s="28" t="n">
        <f aca="false">WORKDAY.INTL(I18,1,11)</f>
        <v>46317</v>
      </c>
      <c r="K18" s="28" t="n">
        <f aca="false">WORKDAY.INTL(J18,1,11)</f>
        <v>46318</v>
      </c>
      <c r="L18" s="28" t="n">
        <f aca="false">WORKDAY.INTL(K18,1,11)</f>
        <v>46319</v>
      </c>
      <c r="M18" s="28" t="n">
        <f aca="false">WORKDAY.INTL(L18,1,11)</f>
        <v>46321</v>
      </c>
      <c r="N18" s="28" t="n">
        <f aca="false">WORKDAY.INTL(M18,1,11)</f>
        <v>46322</v>
      </c>
      <c r="O18" s="28" t="n">
        <f aca="false">WORKDAY.INTL(N18,1,11)</f>
        <v>46323</v>
      </c>
      <c r="P18" s="28" t="n">
        <f aca="false">WORKDAY.INTL(O18,1,11)</f>
        <v>46324</v>
      </c>
    </row>
    <row r="19" customFormat="false" ht="15" hidden="false" customHeight="false" outlineLevel="0" collapsed="false">
      <c r="A19" s="3" t="s">
        <v>236</v>
      </c>
      <c r="B19" s="3" t="s">
        <v>184</v>
      </c>
      <c r="C19" s="3" t="n">
        <v>1</v>
      </c>
      <c r="D19" s="28" t="n">
        <f aca="false">DATE(2026,10,16)</f>
        <v>46311</v>
      </c>
      <c r="E19" s="28" t="n">
        <f aca="false">WORKDAY.INTL(D19,1,11)</f>
        <v>46312</v>
      </c>
      <c r="F19" s="28" t="n">
        <f aca="false">WORKDAY.INTL(E19,1,11)</f>
        <v>46314</v>
      </c>
      <c r="G19" s="28" t="n">
        <f aca="false">WORKDAY.INTL(F19,1,11)</f>
        <v>46315</v>
      </c>
      <c r="H19" s="28" t="n">
        <f aca="false">WORKDAY.INTL(G19,1,11)</f>
        <v>46316</v>
      </c>
      <c r="I19" s="28" t="n">
        <f aca="false">WORKDAY.INTL(H19,1,11)</f>
        <v>46317</v>
      </c>
      <c r="J19" s="28" t="n">
        <f aca="false">WORKDAY.INTL(I19,1,11)</f>
        <v>46318</v>
      </c>
      <c r="K19" s="28" t="n">
        <f aca="false">WORKDAY.INTL(J19,1,11)</f>
        <v>46319</v>
      </c>
      <c r="L19" s="28" t="n">
        <f aca="false">WORKDAY.INTL(K19,1,11)</f>
        <v>46321</v>
      </c>
      <c r="M19" s="28" t="n">
        <f aca="false">WORKDAY.INTL(L19,1,11)</f>
        <v>46322</v>
      </c>
      <c r="N19" s="28" t="n">
        <f aca="false">WORKDAY.INTL(M19,1,11)</f>
        <v>46323</v>
      </c>
      <c r="O19" s="28" t="n">
        <f aca="false">WORKDAY.INTL(N19,1,11)</f>
        <v>46324</v>
      </c>
      <c r="P19" s="28" t="n">
        <f aca="false">WORKDAY.INTL(O19,1,11)</f>
        <v>46325</v>
      </c>
    </row>
    <row r="21" customFormat="false" ht="15" hidden="false" customHeight="false" outlineLevel="0" collapsed="false">
      <c r="A21" s="20" t="s">
        <v>277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2026-10-19T08:36:43Z</dcterms:created>
  <dc:creator>openpyxl</dc:creator>
  <dc:description/>
  <dc:language>en-US</dc:language>
  <cp:lastModifiedBy/>
  <dcterms:modified xsi:type="dcterms:W3CDTF">2026-10-19T08:36:43Z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